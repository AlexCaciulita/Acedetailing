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1cb8725b7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umat" sheetId="1" r:id="R6015b2cce87e41e6"/>
    <x:sheet xmlns:r="http://schemas.openxmlformats.org/officeDocument/2006/relationships" name="Ipoteze" sheetId="2" r:id="Ra640895100f0451f"/>
    <x:sheet xmlns:r="http://schemas.openxmlformats.org/officeDocument/2006/relationships" name="Model 12L" sheetId="3" r:id="R86d69335d8b54a5b"/>
    <x:sheet xmlns:r="http://schemas.openxmlformats.org/officeDocument/2006/relationships" name="Funnel Vânzări" sheetId="4" r:id="R5e870d0383f34b2d"/>
    <x:sheet xmlns:r="http://schemas.openxmlformats.org/officeDocument/2006/relationships" name="30 Prospecți" sheetId="5" r:id="R5c9c4ed4717a4d4f"/>
    <x:sheet xmlns:r="http://schemas.openxmlformats.org/officeDocument/2006/relationships" name="Plan 30 Zile" sheetId="6" r:id="R1aa4a3886dea407c"/>
    <x:sheet xmlns:r="http://schemas.openxmlformats.org/officeDocument/2006/relationships" name="Plan 13 Săptămâni" sheetId="7" r:id="R2472527495b8435e"/>
    <x:sheet xmlns:r="http://schemas.openxmlformats.org/officeDocument/2006/relationships" name="Plan 12 Luni" sheetId="8" r:id="R2875afbd1bd943ae"/>
    <x:sheet xmlns:r="http://schemas.openxmlformats.org/officeDocument/2006/relationships" name="KPI" sheetId="9" r:id="Re9f39ddf0e7d4047"/>
    <x:sheet xmlns:r="http://schemas.openxmlformats.org/officeDocument/2006/relationships" name="Verificări" sheetId="10" r:id="R8037365d40a64b1e"/>
    <x:sheet xmlns:r="http://schemas.openxmlformats.org/officeDocument/2006/relationships" name="Surse" sheetId="11" r:id="R31980ba35184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%"/>
    <x:numFmt numFmtId="201" formatCode="#,##0.00"/>
    <x:numFmt numFmtId="202" formatCode="0.00"/>
    <x:numFmt numFmtId="203" formatCode="mmm-yy"/>
    <x:numFmt numFmtId="204" formatCode="#,##0 &quot;lei&quot;"/>
    <x:numFmt numFmtId="205" formatCode="0.0"/>
    <x:numFmt numFmtId="206" formatCode="#,##0"/>
    <x:numFmt numFmtId="207" formatCode="0"/>
    <x:numFmt numFmtId="208" formatCode="dd-mmm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0322C"/>
      <x:name val="Carlito"/>
    </x:font>
    <x:font>
      <x:b/>
      <x:sz val="10"/>
      <x:color rgb="FFFFFFFF"/>
      <x:name val="Carlito"/>
    </x:font>
    <x:font>
      <x:sz val="9"/>
      <x:color rgb="FF18231F"/>
      <x:name val="Carlito"/>
    </x:font>
    <x:font>
      <x:b/>
      <x:sz val="9"/>
      <x:color rgb="FF1D4E89"/>
      <x:name val="Carlito"/>
    </x:font>
    <x:font>
      <x:b/>
      <x:sz val="9"/>
      <x:color rgb="FF18231F"/>
      <x:name val="Carlito"/>
    </x:font>
    <x:font>
      <x:b/>
      <x:sz val="13"/>
      <x:color rgb="FF18231F"/>
      <x:name val="Carlito"/>
    </x:font>
    <x:font>
      <x:sz val="11"/>
      <x:color rgb="FF18231F"/>
      <x:name val="Carlito"/>
    </x:font>
    <x:font>
      <x:b/>
      <x:sz val="11"/>
      <x:color rgb="FFFFFFFF"/>
      <x:name val="Carlito"/>
    </x:font>
    <x:font>
      <x:sz val="9"/>
      <x:color rgb="FF1D4E8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2C"/>
      </x:patternFill>
    </x:fill>
    <x:fill>
      <x:patternFill patternType="solid">
        <x:fgColor rgb="FFDCE6E0"/>
      </x:patternFill>
    </x:fill>
    <x:fill>
      <x:patternFill patternType="solid">
        <x:fgColor rgb="FF2E433B"/>
      </x:patternFill>
    </x:fill>
    <x:fill>
      <x:patternFill patternType="solid">
        <x:fgColor rgb="FFE8F1FA"/>
      </x:patternFill>
    </x:fill>
    <x:fill>
      <x:patternFill patternType="solid">
        <x:fgColor rgb="FFEFE8D9"/>
      </x:patternFill>
    </x:fill>
    <x:fill>
      <x:patternFill patternType="solid">
        <x:fgColor rgb="FFB5A17A"/>
      </x:patternFill>
    </x:fill>
    <x:fill>
      <x:patternFill patternType="solid">
        <x:fgColor rgb="FFF2F6F3"/>
      </x:patternFill>
    </x:fill>
  </x:fills>
  <x:borders count="10">
    <x:border/>
    <x:border>
      <x:left style="thin">
        <x:color rgb="FFCBD5CF"/>
      </x:left>
      <x:right style="thin">
        <x:color rgb="FFCBD5CF"/>
      </x:right>
      <x:top style="thin">
        <x:color rgb="FFCBD5CF"/>
      </x:top>
      <x:bottom style="thin">
        <x:color rgb="FFCBD5CF"/>
      </x:bottom>
    </x:border>
    <x:border>
      <x:left style="thin">
        <x:color rgb="FFCBD5CF"/>
      </x:left>
      <x:top style="thin">
        <x:color rgb="FFCBD5CF"/>
      </x:top>
    </x:border>
    <x:border>
      <x:top style="thin">
        <x:color rgb="FFCBD5CF"/>
      </x:top>
    </x:border>
    <x:border>
      <x:right style="thin">
        <x:color rgb="FFCBD5CF"/>
      </x:right>
      <x:top style="thin">
        <x:color rgb="FFCBD5CF"/>
      </x:top>
    </x:border>
    <x:border>
      <x:left style="thin">
        <x:color rgb="FFCBD5CF"/>
      </x:left>
    </x:border>
    <x:border>
      <x:right style="thin">
        <x:color rgb="FFCBD5CF"/>
      </x:right>
    </x:border>
    <x:border>
      <x:left style="thin">
        <x:color rgb="FFCBD5CF"/>
      </x:left>
      <x:bottom style="thin">
        <x:color rgb="FFCBD5CF"/>
      </x:bottom>
    </x:border>
    <x:border>
      <x:bottom style="thin">
        <x:color rgb="FFCBD5CF"/>
      </x:bottom>
    </x:border>
    <x:border>
      <x:right style="thin">
        <x:color rgb="FFCBD5CF"/>
      </x:right>
      <x:bottom style="thin">
        <x:color rgb="FFCBD5CF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200" fontId="5" fillId="5" borderId="1" xfId="0" applyNumberFormat="1" applyFont="1" applyFill="1" applyBorder="1" applyAlignment="1">
      <x:alignment vertical="top" wrapText="1"/>
    </x:xf>
    <x:xf numFmtId="201" fontId="5" fillId="5" borderId="1" xfId="0" applyNumberFormat="1" applyFont="1" applyFill="1" applyBorder="1" applyAlignment="1">
      <x:alignment vertical="top" wrapText="1"/>
    </x:xf>
    <x:xf numFmtId="201" fontId="6" fillId="6" borderId="1" xfId="0" applyNumberFormat="1" applyFont="1" applyFill="1" applyBorder="1" applyAlignment="1">
      <x:alignment vertical="top" wrapText="1"/>
    </x:xf>
    <x:xf numFmtId="202" fontId="5" fillId="5" borderId="1" xfId="0" applyNumberFormat="1" applyFont="1" applyFill="1" applyBorder="1" applyAlignment="1">
      <x:alignment vertical="top" wrapText="1"/>
    </x:xf>
    <x:xf numFmtId="203" fontId="5" fillId="5" borderId="1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  <x:xf numFmtId="205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" xfId="0" applyNumberFormat="1" applyFont="1" applyFill="1" applyBorder="1"/>
    <x:xf numFmtId="0" fontId="8" fillId="8" borderId="3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2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vertical="center" wrapText="1"/>
    </x:xf>
    <x:xf numFmtId="0" fontId="8" fillId="8" borderId="4" xfId="0" applyNumberFormat="1" applyFont="1" applyFill="1" applyBorder="1" applyAlignment="1">
      <x:alignment vertical="center" wrapText="1"/>
    </x:xf>
    <x:xf numFmtId="0" fontId="8" fillId="8" borderId="5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6" xfId="0" applyNumberFormat="1" applyFont="1" applyFill="1" applyBorder="1" applyAlignment="1">
      <x:alignment vertical="center" wrapText="1"/>
    </x:xf>
    <x:xf numFmtId="0" fontId="8" fillId="8" borderId="7" xfId="0" applyNumberFormat="1" applyFont="1" applyFill="1" applyBorder="1" applyAlignment="1">
      <x:alignment vertical="center" wrapText="1"/>
    </x:xf>
    <x:xf numFmtId="0" fontId="8" fillId="8" borderId="8" xfId="0" applyNumberFormat="1" applyFont="1" applyFill="1" applyBorder="1" applyAlignment="1">
      <x:alignment vertical="center" wrapText="1"/>
    </x:xf>
    <x:xf numFmtId="0" fontId="8" fillId="8" borderId="9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/>
    <x:xf numFmtId="206" fontId="0" fillId="0" borderId="0" xfId="0" applyNumberFormat="1" applyFont="1" applyFill="1" applyBorder="1"/>
    <x:xf numFmtId="0" fontId="10" fillId="5" borderId="1" xfId="0" applyNumberFormat="1" applyFont="1" applyFill="1" applyBorder="1" applyAlignment="1">
      <x:alignment vertical="top" wrapText="1"/>
    </x:xf>
    <x:xf numFmtId="200" fontId="10" fillId="5" borderId="1" xfId="0" applyNumberFormat="1" applyFont="1" applyFill="1" applyBorder="1" applyAlignment="1">
      <x:alignment vertical="top" wrapText="1"/>
    </x:xf>
    <x:xf numFmtId="207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205" fontId="4" fillId="0" borderId="1" xfId="0" applyNumberFormat="1" applyFont="1" applyFill="1" applyBorder="1" applyAlignment="1">
      <x:alignment horizontal="center" vertical="top" wrapText="1"/>
    </x:xf>
    <x:xf numFmtId="208" fontId="4" fillId="0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color rgb="FFB42318"/>
      </x:font>
      <x:fill>
        <x:patternFill patternType="solid">
          <x:bgColor rgb="FFFDECEC"/>
        </x:patternFill>
      </x:fill>
    </x:dxf>
    <x:dxf>
      <x:font>
        <x:b/>
        <x:color rgb="FF18794E"/>
      </x:font>
      <x:fill>
        <x:patternFill patternType="solid">
          <x:bgColor rgb="FFE6F4EC"/>
        </x:patternFill>
      </x:fill>
    </x:dxf>
    <x:dxf>
      <x:font>
        <x:b/>
        <x:color rgb="FF18794E"/>
      </x:font>
      <x:fill>
        <x:patternFill patternType="solid">
          <x:bgColor rgb="FFE6F4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A15C00"/>
      </x:font>
      <x:fill>
        <x:patternFill patternType="solid">
          <x:bgColor rgb="FFFFF2D8"/>
        </x:patternFill>
      </x:fill>
    </x:dxf>
    <x:dxf>
      <x:font>
        <x:b/>
        <x:color rgb="FF18794E"/>
      </x:font>
      <x:fill>
        <x:patternFill patternType="solid">
          <x:bgColor rgb="FFE6F4EC"/>
        </x:patternFill>
      </x:fill>
    </x:dxf>
    <x:dxf>
      <x:font>
        <x:color rgb="FFA15C00"/>
      </x:font>
      <x:fill>
        <x:patternFill patternType="solid">
          <x:bgColor rgb="FFFFF2D8"/>
        </x:patternFill>
      </x:fill>
    </x:dxf>
    <x:dxf>
      <x:font>
        <x:b/>
        <x:color rgb="FF18794E"/>
      </x:font>
      <x:fill>
        <x:patternFill patternType="solid">
          <x:bgColor rgb="FFE6F4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A15C00"/>
      </x:font>
      <x:fill>
        <x:patternFill patternType="solid">
          <x:bgColor rgb="FFFFF2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efda9f0e984002" /><Relationship Type="http://schemas.openxmlformats.org/officeDocument/2006/relationships/theme" Target="/xl/theme/theme1.xml" Id="Rffaf5e4e55b34edb" /><Relationship Type="http://schemas.openxmlformats.org/officeDocument/2006/relationships/sharedStrings" Target="/xl/sharedStrings.xml" Id="R32b19795a50442e5" /><Relationship Type="http://schemas.openxmlformats.org/officeDocument/2006/relationships/worksheet" Target="/xl/worksheets/sheet1.xml" Id="R6015b2cce87e41e6" /><Relationship Type="http://schemas.openxmlformats.org/officeDocument/2006/relationships/worksheet" Target="/xl/worksheets/sheet2.xml" Id="Ra640895100f0451f" /><Relationship Type="http://schemas.openxmlformats.org/officeDocument/2006/relationships/worksheet" Target="/xl/worksheets/sheet3.xml" Id="R86d69335d8b54a5b" /><Relationship Type="http://schemas.openxmlformats.org/officeDocument/2006/relationships/worksheet" Target="/xl/worksheets/sheet4.xml" Id="R5e870d0383f34b2d" /><Relationship Type="http://schemas.openxmlformats.org/officeDocument/2006/relationships/worksheet" Target="/xl/worksheets/sheet5.xml" Id="R5c9c4ed4717a4d4f" /><Relationship Type="http://schemas.openxmlformats.org/officeDocument/2006/relationships/worksheet" Target="/xl/worksheets/sheet6.xml" Id="R1aa4a3886dea407c" /><Relationship Type="http://schemas.openxmlformats.org/officeDocument/2006/relationships/worksheet" Target="/xl/worksheets/sheet7.xml" Id="R2472527495b8435e" /><Relationship Type="http://schemas.openxmlformats.org/officeDocument/2006/relationships/worksheet" Target="/xl/worksheets/sheet8.xml" Id="R2875afbd1bd943ae" /><Relationship Type="http://schemas.openxmlformats.org/officeDocument/2006/relationships/worksheet" Target="/xl/worksheets/sheet9.xml" Id="Re9f39ddf0e7d4047" /><Relationship Type="http://schemas.openxmlformats.org/officeDocument/2006/relationships/worksheet" Target="/xl/worksheets/sheet10.xml" Id="R8037365d40a64b1e" /><Relationship Type="http://schemas.openxmlformats.org/officeDocument/2006/relationships/worksheet" Target="/xl/worksheets/sheet11.xml" Id="R31980ba3518447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e24153296347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Venit și rezultat operațional lunar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Venit total</c:v>
          </c:tx>
          <c:marker>
            <c:symbol val="none"/>
          </c:marker>
          <c:cat>
            <c:strRef>
              <c:f>'Rezumat'!$J$5:$J$16</c:f>
              <c:strCache>
                <c:ptCount val="0"/>
              </c:strCache>
            </c:strRef>
          </c:cat>
          <c:val>
            <c:numRef>
              <c:f>'Rezumat'!$K$5:$K$16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Rezultat operațional</c:v>
          </c:tx>
          <c:marker>
            <c:symbol val="none"/>
          </c:marker>
          <c:cat>
            <c:strRef>
              <c:f>'Rezumat'!$J$5:$J$16</c:f>
              <c:strCache>
                <c:ptCount val="0"/>
              </c:strCache>
            </c:strRef>
          </c:cat>
          <c:val>
            <c:numRef>
              <c:f>'Rezumat'!$L$5:$L$16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e24153296347b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08ac4f1c4745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0" hidden="0" customWidth="1"/>
    <x:col min="3" max="3" width="26" hidden="0" customWidth="1"/>
    <x:col min="4" max="4" width="20" hidden="0" customWidth="1"/>
    <x:col min="5" max="5" width="3" hidden="0" customWidth="1"/>
    <x:col min="6" max="6" width="12" hidden="0" customWidth="1"/>
    <x:col min="7" max="7" width="12" hidden="0" customWidth="1"/>
    <x:col min="8" max="8" width="12" hidden="0" customWidth="1"/>
    <x:col min="9" max="9" width="3" hidden="0" customWidth="1"/>
    <x:col min="10" max="10" width="12" hidden="0" customWidth="1"/>
    <x:col min="11" max="11" width="16" hidden="0" customWidth="1"/>
    <x:col min="12" max="12" width="18" hidden="0" customWidth="1"/>
    <x:col min="13" max="13" width="12" hidden="0" customWidth="1"/>
    <x:col min="14" max="14" width="12" hidden="0" customWidth="1"/>
  </x:cols>
  <x:sheetData>
    <x:row r="1" ht="32" customHeight="1">
      <x:c r="A1" s="3" t="str">
        <x:v>NOVA DETAILING · PLAN REALIST DE PROFITABILITATE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Versiune 31 iulie 2026 · model net de TVA · interval: august 2026–iulie 2027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31" t="str">
        <x:v>Decizia executivă</x:v>
      </x:c>
      <x:c r="B4" s="31"/>
      <x:c r="C4" s="31"/>
      <x:c r="D4" s="31"/>
      <x:c r="J4" t="str">
        <x:v>Lună</x:v>
      </x:c>
      <x:c r="K4" t="str">
        <x:v>Venit total</x:v>
      </x:c>
      <x:c r="L4" t="str">
        <x:v>Rezultat operațional</x:v>
      </x:c>
    </x:row>
    <x:row r="5">
      <x:c r="A5" s="51" t="str">
        <x:v>Nova poate ajunge la rezultat operațional lunar pozitiv în jurul lunii 6 numai dacă menține retailul profitabil și transformă piloții B2B în minimum 2 clienți recurenți până în luna 5. Primele 90 de zile sunt despre validare și disciplină comercială, nu despre extindere.</x:v>
      </x:c>
      <x:c r="B5" s="52"/>
      <x:c r="C5" s="52"/>
      <x:c r="D5" s="53"/>
      <x:c r="J5" t="str">
        <x:v>Aug-26</x:v>
      </x:c>
      <x:c r="K5" s="62" t="n">
        <x:f>'Model 12L'!K5</x:f>
        <x:v>26700</x:v>
      </x:c>
      <x:c r="L5" s="62" t="n">
        <x:f>'Model 12L'!O5</x:f>
        <x:v>-15719</x:v>
      </x:c>
    </x:row>
    <x:row r="6">
      <x:c r="A6" s="54"/>
      <x:c r="B6" s="55"/>
      <x:c r="C6" s="55"/>
      <x:c r="D6" s="56"/>
      <x:c r="J6" t="str">
        <x:v>Sep-26</x:v>
      </x:c>
      <x:c r="K6" s="62" t="n">
        <x:f>'Model 12L'!K6</x:f>
        <x:v>33800</x:v>
      </x:c>
      <x:c r="L6" s="62" t="n">
        <x:f>'Model 12L'!O6</x:f>
        <x:v>-10646</x:v>
      </x:c>
    </x:row>
    <x:row r="7">
      <x:c r="A7" s="54"/>
      <x:c r="B7" s="55"/>
      <x:c r="C7" s="55"/>
      <x:c r="D7" s="56"/>
      <x:c r="J7" t="str">
        <x:v>Oct-26</x:v>
      </x:c>
      <x:c r="K7" s="62" t="n">
        <x:f>'Model 12L'!K7</x:f>
        <x:v>38600</x:v>
      </x:c>
      <x:c r="L7" s="62" t="n">
        <x:f>'Model 12L'!O7</x:f>
        <x:v>-7286</x:v>
      </x:c>
    </x:row>
    <x:row r="8">
      <x:c r="A8" s="57"/>
      <x:c r="B8" s="58"/>
      <x:c r="C8" s="58"/>
      <x:c r="D8" s="59"/>
      <x:c r="J8" t="str">
        <x:v>Nov-26</x:v>
      </x:c>
      <x:c r="K8" s="62" t="n">
        <x:f>'Model 12L'!K8</x:f>
        <x:v>45700</x:v>
      </x:c>
      <x:c r="L8" s="62" t="n">
        <x:f>'Model 12L'!O8</x:f>
        <x:v>-2213</x:v>
      </x:c>
    </x:row>
    <x:row r="9">
      <x:c r="J9" t="str">
        <x:v>Dec-26</x:v>
      </x:c>
      <x:c r="K9" s="62" t="n">
        <x:f>'Model 12L'!K9</x:f>
        <x:v>43400</x:v>
      </x:c>
      <x:c r="L9" s="62" t="n">
        <x:f>'Model 12L'!O9</x:f>
        <x:v>-3926</x:v>
      </x:c>
    </x:row>
    <x:row r="10" ht="30" customHeight="1">
      <x:c r="A10" s="13" t="str">
        <x:v>Indicator</x:v>
      </x:c>
      <x:c r="B10" s="13" t="str">
        <x:v>Scenariu de bază</x:v>
      </x:c>
      <x:c r="J10" t="str">
        <x:v>Ian-27</x:v>
      </x:c>
      <x:c r="K10" s="62" t="n">
        <x:f>'Model 12L'!K10</x:f>
        <x:v>50500</x:v>
      </x:c>
      <x:c r="L10" s="62" t="n">
        <x:f>'Model 12L'!O10</x:f>
        <x:v>1147</x:v>
      </x:c>
    </x:row>
    <x:row r="11">
      <x:c r="A11" s="17" t="str">
        <x:v>Venit net 12 luni</x:v>
      </x:c>
      <x:c r="B11" s="27" t="n">
        <x:f>SUM('Model 12L'!$K$5:$K$16)</x:f>
        <x:v>630300</x:v>
      </x:c>
      <x:c r="J11" t="str">
        <x:v>Feb-27</x:v>
      </x:c>
      <x:c r="K11" s="62" t="n">
        <x:f>'Model 12L'!K11</x:f>
        <x:v>55300</x:v>
      </x:c>
      <x:c r="L11" s="62" t="n">
        <x:f>'Model 12L'!O11</x:f>
        <x:v>4507</x:v>
      </x:c>
    </x:row>
    <x:row r="12">
      <x:c r="A12" s="17" t="str">
        <x:v>Rezultat operațional 12 luni</x:v>
      </x:c>
      <x:c r="B12" s="27" t="n">
        <x:f>SUM('Model 12L'!$O$5:$O$16)</x:f>
        <x:v>30969</x:v>
      </x:c>
      <x:c r="J12" t="str">
        <x:v>Mar-27</x:v>
      </x:c>
      <x:c r="K12" s="62" t="n">
        <x:f>'Model 12L'!K12</x:f>
        <x:v>58100</x:v>
      </x:c>
      <x:c r="L12" s="62" t="n">
        <x:f>'Model 12L'!O12</x:f>
        <x:v>6551</x:v>
      </x:c>
    </x:row>
    <x:row r="13">
      <x:c r="A13" s="17" t="str">
        <x:v>Cash final</x:v>
      </x:c>
      <x:c r="B13" s="27" t="n">
        <x:f>'Model 12L'!$Q$16</x:f>
        <x:v>80969</x:v>
      </x:c>
      <x:c r="J13" t="str">
        <x:v>Apr-27</x:v>
      </x:c>
      <x:c r="K13" s="62" t="n">
        <x:f>'Model 12L'!K13</x:f>
        <x:v>62900</x:v>
      </x:c>
      <x:c r="L13" s="62" t="n">
        <x:f>'Model 12L'!O13</x:f>
        <x:v>9911</x:v>
      </x:c>
    </x:row>
    <x:row r="14">
      <x:c r="A14" s="17" t="str">
        <x:v>Cash minim</x:v>
      </x:c>
      <x:c r="B14" s="27" t="n">
        <x:f>MIN('Model 12L'!$Q$5:$Q$16)</x:f>
        <x:v>10210</x:v>
      </x:c>
      <x:c r="J14" t="str">
        <x:v>Mai-27</x:v>
      </x:c>
      <x:c r="K14" s="62" t="n">
        <x:f>'Model 12L'!K14</x:f>
        <x:v>65700</x:v>
      </x:c>
      <x:c r="L14" s="62" t="n">
        <x:f>'Model 12L'!O14</x:f>
        <x:v>11955</x:v>
      </x:c>
    </x:row>
    <x:row r="15">
      <x:c r="A15" s="17" t="str">
        <x:v>Prima lună profitabilă</x:v>
      </x:c>
      <x:c r="B15" s="60" t="n">
        <x:f>INDEX('Model 12L'!$A$5:$A$16,MATCH(TRUE,'Model 12L'!$O$5:$O$16&gt;0,0))</x:f>
        <x:v>46388</x:v>
      </x:c>
      <x:c r="J15" t="str">
        <x:v>Iun-27</x:v>
      </x:c>
      <x:c r="K15" s="62" t="n">
        <x:f>'Model 12L'!K15</x:f>
        <x:v>74800</x:v>
      </x:c>
      <x:c r="L15" s="62" t="n">
        <x:f>'Model 12L'!O15</x:f>
        <x:v>18344</x:v>
      </x:c>
    </x:row>
    <x:row r="16">
      <x:c r="A16" s="17" t="str">
        <x:v>Clienți B2B activi la final</x:v>
      </x:c>
      <x:c r="B16" s="17" t="n">
        <x:f>'Model 12L'!$E$16</x:f>
        <x:v>5</x:v>
      </x:c>
      <x:c r="J16" t="str">
        <x:v>Iul-27</x:v>
      </x:c>
      <x:c r="K16" s="62" t="n">
        <x:f>'Model 12L'!K16</x:f>
        <x:v>74800</x:v>
      </x:c>
      <x:c r="L16" s="62" t="n">
        <x:f>'Model 12L'!O16</x:f>
        <x:v>18344</x:v>
      </x:c>
    </x:row>
    <x:row r="17">
      <x:c r="A17" s="17" t="str">
        <x:v>Utilizare maximă boxe</x:v>
      </x:c>
      <x:c r="B17" s="29" t="n">
        <x:f>MAX('Model 12L'!$T$5:$T$16)</x:f>
        <x:v>0.8181818181818182</x:v>
      </x:c>
    </x:row>
    <x:row r="18">
      <x:c r="A18" s="17" t="str">
        <x:v>Prag minim cash recomandat</x:v>
      </x:c>
      <x:c r="B18" s="27" t="n">
        <x:f>Ipoteze!$C$34</x:f>
        <x:v>45000</x:v>
      </x:c>
    </x:row>
    <x:row r="19">
      <x:c r="A19" s="17" t="str">
        <x:v>Capital suplimentar pentru păstrarea bufferului</x:v>
      </x:c>
      <x:c r="B19" s="27" t="n">
        <x:f>MAX(0,Ipoteze!$C$34-MIN('Model 12L'!$Q$5:$Q$16))</x:f>
        <x:v>34790</x:v>
      </x:c>
    </x:row>
    <x:row r="21">
      <x:c r="A21" s="61" t="str">
        <x:v>Praguri de decizie 30 / 60 / 90 zile</x:v>
      </x:c>
      <x:c r="B21" s="61"/>
      <x:c r="C21" s="61"/>
      <x:c r="D21" s="61"/>
    </x:row>
    <x:row r="22">
      <x:c r="A22" s="17" t="str">
        <x:v>30 zile</x:v>
      </x:c>
      <x:c r="B22" s="17" t="str">
        <x:v>1 pilot plătit sau 3 oferte active</x:v>
      </x:c>
      <x:c r="C22" s="17" t="str">
        <x:v>Dacă nu: rescrie ICP + mesaj</x:v>
      </x:c>
      <x:c r="D22" s="17" t="str">
        <x:v>Nu angaja</x:v>
      </x:c>
    </x:row>
    <x:row r="23">
      <x:c r="A23" s="17" t="str">
        <x:v>60 zile</x:v>
      </x:c>
      <x:c r="B23" s="17" t="str">
        <x:v>2 piloți și marjă contribuție ≥55%</x:v>
      </x:c>
      <x:c r="C23" s="17" t="str">
        <x:v>Dacă nu: reprețuire / scop mai mic</x:v>
      </x:c>
      <x:c r="D23" s="17" t="str">
        <x:v>Nu investi în echipamente</x:v>
      </x:c>
    </x:row>
    <x:row r="24">
      <x:c r="A24" s="17" t="str">
        <x:v>90 zile</x:v>
      </x:c>
      <x:c r="B24" s="17" t="str">
        <x:v>1–2 clienți activi, calendar de retururi</x:v>
      </x:c>
      <x:c r="C24" s="17" t="str">
        <x:v>Dacă nu: pivot de segment</x:v>
      </x:c>
      <x:c r="D24" s="17" t="str">
        <x:v>Păstrează retailul</x:v>
      </x:c>
    </x:row>
    <x:row r="25">
      <x:c r="A25" s="17" t="str">
        <x:v>180 zile</x:v>
      </x:c>
      <x:c r="B25" s="17" t="str">
        <x:v>Rezultat lunar pozitiv și cash controlat</x:v>
      </x:c>
      <x:c r="C25" s="17" t="str">
        <x:v>Dacă nu: reducere cost fix</x:v>
      </x:c>
      <x:c r="D25" s="17" t="str">
        <x:v>Fără expansiune</x:v>
      </x:c>
    </x:row>
  </x:sheetData>
  <x:mergeCells>
    <x:mergeCell ref="A1:N1"/>
    <x:mergeCell ref="A2:N2"/>
    <x:mergeCell ref="A4:D4"/>
    <x:mergeCell ref="A5:D8"/>
    <x:mergeCell ref="A21:D21"/>
  </x:mergeCells>
  <x:pageMargins left="0.7" right="0.7" top="0.75" bottom="0.75" header="0.3" footer="0.3"/>
  <x:drawing xmlns:r="http://schemas.openxmlformats.org/officeDocument/2006/relationships" r:id="Rbc08ac4f1c47450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6" hidden="0" customWidth="1"/>
    <x:col min="4" max="4" width="54" hidden="0" customWidth="1"/>
  </x:cols>
  <x:sheetData>
    <x:row r="1" ht="32" customHeight="1">
      <x:c r="A1" s="3" t="str">
        <x:v>NOVA DETAILING · IPOTEZE DE LUCRU</x:v>
      </x:c>
      <x:c r="B1" s="3"/>
      <x:c r="C1" s="3"/>
      <x:c r="D1" s="3"/>
    </x:row>
    <x:row r="2" ht="30" customHeight="1">
      <x:c r="A2" s="7" t="str">
        <x:v>Celulele albastre sunt inputuri. Modelul este net de TVA și trebuie înlocuit cu date reale după 20 de lucrări măsurate.</x:v>
      </x:c>
      <x:c r="B2" s="7"/>
      <x:c r="C2" s="7"/>
      <x:c r="D2" s="7"/>
    </x:row>
    <x:row r="4" ht="30" customHeight="1">
      <x:c r="A4" s="13" t="str">
        <x:v>Categorie</x:v>
      </x:c>
      <x:c r="B4" s="13" t="str">
        <x:v>Ipoteză</x:v>
      </x:c>
      <x:c r="C4" s="13" t="str">
        <x:v>Valoare</x:v>
      </x:c>
      <x:c r="D4" s="13" t="str">
        <x:v>Sursă / motiv</x:v>
      </x:c>
    </x:row>
    <x:row r="5">
      <x:c r="A5" s="17" t="str">
        <x:v>Fiscal</x:v>
      </x:c>
      <x:c r="B5" s="17" t="str">
        <x:v>TVA</x:v>
      </x:c>
      <x:c r="C5" s="22" t="n">
        <x:v>0.21</x:v>
      </x:c>
      <x:c r="D5" s="17" t="str">
        <x:v>ANAF; modelul de profit este net de TVA</x:v>
      </x:c>
    </x:row>
    <x:row r="6">
      <x:c r="A6" s="17" t="str">
        <x:v>Cash</x:v>
      </x:c>
      <x:c r="B6" s="17" t="str">
        <x:v>Cash inițial disponibil</x:v>
      </x:c>
      <x:c r="C6" s="23" t="n">
        <x:v>50000</x:v>
      </x:c>
      <x:c r="D6" s="17" t="str">
        <x:v>Ipoteză de planificare; confirmă soldul real</x:v>
      </x:c>
    </x:row>
    <x:row r="7">
      <x:c r="A7" s="17" t="str">
        <x:v>Capacitate</x:v>
      </x:c>
      <x:c r="B7" s="17" t="str">
        <x:v>Zile lucrătoare / lună</x:v>
      </x:c>
      <x:c r="C7" s="23" t="n">
        <x:v>22</x:v>
      </x:c>
      <x:c r="D7" s="17" t="str">
        <x:v>Ipoteză calendar</x:v>
      </x:c>
    </x:row>
    <x:row r="8">
      <x:c r="A8" s="17" t="str">
        <x:v>Capacitate</x:v>
      </x:c>
      <x:c r="B8" s="17" t="str">
        <x:v>Boxe productive</x:v>
      </x:c>
      <x:c r="C8" s="23" t="n">
        <x:v>2</x:v>
      </x:c>
      <x:c r="D8" s="17" t="str">
        <x:v>Conform planului existent; confirmă fizic</x:v>
      </x:c>
    </x:row>
    <x:row r="9">
      <x:c r="A9" s="17" t="str">
        <x:v>Retail</x:v>
      </x:c>
      <x:c r="B9" s="17" t="str">
        <x:v>Ticket mediu net / lucrare</x:v>
      </x:c>
      <x:c r="C9" s="23" t="n">
        <x:v>2800</x:v>
      </x:c>
      <x:c r="D9" s="17" t="str">
        <x:v>Ipoteză până la mix real</x:v>
      </x:c>
    </x:row>
    <x:row r="10">
      <x:c r="A10" s="17" t="str">
        <x:v>Retail</x:v>
      </x:c>
      <x:c r="B10" s="17" t="str">
        <x:v>Zile-boxă medii / lucrare</x:v>
      </x:c>
      <x:c r="C10" s="23" t="n">
        <x:v>1.8</x:v>
      </x:c>
      <x:c r="D10" s="17" t="str">
        <x:v>De măsurat pe 20 lucrări</x:v>
      </x:c>
    </x:row>
    <x:row r="11">
      <x:c r="A11" s="17" t="str">
        <x:v>Retail</x:v>
      </x:c>
      <x:c r="B11" s="17" t="str">
        <x:v>Cost variabil %</x:v>
      </x:c>
      <x:c r="C11" s="25" t="n">
        <x:v>0.27</x:v>
      </x:c>
      <x:c r="D11" s="17" t="str">
        <x:v>Materiale + consumabile + rework direct</x:v>
      </x:c>
    </x:row>
    <x:row r="12">
      <x:c r="A12" s="17" t="str">
        <x:v>B2B pilot</x:v>
      </x:c>
      <x:c r="B12" s="17" t="str">
        <x:v>Zile-boxă / pilot</x:v>
      </x:c>
      <x:c r="C12" s="23" t="n">
        <x:v>0.15</x:v>
      </x:c>
      <x:c r="D12" s="17" t="str">
        <x:v>Inspecție preponderent în afara boxei</x:v>
      </x:c>
    </x:row>
    <x:row r="13">
      <x:c r="A13" s="17" t="str">
        <x:v>B2B pilot</x:v>
      </x:c>
      <x:c r="B13" s="17" t="str">
        <x:v>Preț pilot net / 3 mașini</x:v>
      </x:c>
      <x:c r="C13" s="23" t="n">
        <x:v>1500</x:v>
      </x:c>
      <x:c r="D13" s="17" t="str">
        <x:v>Interval de validare 1.350–1.800 lei + TVA</x:v>
      </x:c>
    </x:row>
    <x:row r="14">
      <x:c r="A14" s="17" t="str">
        <x:v>B2B pilot</x:v>
      </x:c>
      <x:c r="B14" s="17" t="str">
        <x:v>Mașini / pilot</x:v>
      </x:c>
      <x:c r="C14" s="23" t="n">
        <x:v>3</x:v>
      </x:c>
      <x:c r="D14" s="17" t="str">
        <x:v>Ofertă de intrare</x:v>
      </x:c>
    </x:row>
    <x:row r="15">
      <x:c r="A15" s="17" t="str">
        <x:v>B2B pilot</x:v>
      </x:c>
      <x:c r="B15" s="17" t="str">
        <x:v>Conversie mașini spre remediere</x:v>
      </x:c>
      <x:c r="C15" s="22" t="n">
        <x:v>0.35</x:v>
      </x:c>
      <x:c r="D15" s="17" t="str">
        <x:v>Ipoteză, nu istoric</x:v>
      </x:c>
    </x:row>
    <x:row r="16">
      <x:c r="A16" s="17" t="str">
        <x:v>B2B remediere</x:v>
      </x:c>
      <x:c r="B16" s="17" t="str">
        <x:v>Ticket mediu net / mașină</x:v>
      </x:c>
      <x:c r="C16" s="23" t="n">
        <x:v>2800</x:v>
      </x:c>
      <x:c r="D16" s="17" t="str">
        <x:v>Ipoteză până la date reale</x:v>
      </x:c>
    </x:row>
    <x:row r="17">
      <x:c r="A17" s="17" t="str">
        <x:v>B2B pilot</x:v>
      </x:c>
      <x:c r="B17" s="17" t="str">
        <x:v>Cost variabil pilot %</x:v>
      </x:c>
      <x:c r="C17" s="22" t="n">
        <x:v>0.25</x:v>
      </x:c>
      <x:c r="D17" s="17" t="str">
        <x:v>De măsurat</x:v>
      </x:c>
    </x:row>
    <x:row r="18">
      <x:c r="A18" s="17" t="str">
        <x:v>B2B remediere</x:v>
      </x:c>
      <x:c r="B18" s="17" t="str">
        <x:v>Cost variabil remediere %</x:v>
      </x:c>
      <x:c r="C18" s="22" t="n">
        <x:v>0.32</x:v>
      </x:c>
      <x:c r="D18" s="17" t="str">
        <x:v>Include consumabile și rework</x:v>
      </x:c>
    </x:row>
    <x:row r="19">
      <x:c r="A19" s="17" t="str">
        <x:v>B2B remediere</x:v>
      </x:c>
      <x:c r="B19" s="17" t="str">
        <x:v>Zile-boxă / remediere</x:v>
      </x:c>
      <x:c r="C19" s="23" t="n">
        <x:v>1.2</x:v>
      </x:c>
      <x:c r="D19" s="17" t="str">
        <x:v>Ipoteză</x:v>
      </x:c>
    </x:row>
    <x:row r="20">
      <x:c r="A20" s="17" t="str">
        <x:v>B2B recurent</x:v>
      </x:c>
      <x:c r="B20" s="17" t="str">
        <x:v>Venit net / client / lună</x:v>
      </x:c>
      <x:c r="C20" s="23" t="n">
        <x:v>4800</x:v>
      </x:c>
      <x:c r="D20" s="17" t="str">
        <x:v>Ipoteză: audituri + remedieri aprobate</x:v>
      </x:c>
    </x:row>
    <x:row r="21">
      <x:c r="A21" s="17" t="str">
        <x:v>B2B recurent</x:v>
      </x:c>
      <x:c r="B21" s="17" t="str">
        <x:v>Cost variabil %</x:v>
      </x:c>
      <x:c r="C21" s="22" t="n">
        <x:v>0.3</x:v>
      </x:c>
      <x:c r="D21" s="17" t="str">
        <x:v>Ipoteză</x:v>
      </x:c>
    </x:row>
    <x:row r="22">
      <x:c r="A22" s="17" t="str">
        <x:v>B2B recurent</x:v>
      </x:c>
      <x:c r="B22" s="17" t="str">
        <x:v>Zile-boxă / client / lună</x:v>
      </x:c>
      <x:c r="C22" s="23" t="n">
        <x:v>1.8</x:v>
      </x:c>
      <x:c r="D22" s="17" t="str">
        <x:v>Ipoteză</x:v>
      </x:c>
    </x:row>
    <x:row r="23">
      <x:c r="A23" s="17" t="str">
        <x:v>Cost fix</x:v>
      </x:c>
      <x:c r="B23" s="17" t="str">
        <x:v>Remunerație fondator / manager</x:v>
      </x:c>
      <x:c r="C23" s="23" t="n">
        <x:v>7000</x:v>
      </x:c>
      <x:c r="D23" s="17" t="str">
        <x:v>Cost lunar încărcat</x:v>
      </x:c>
    </x:row>
    <x:row r="24">
      <x:c r="A24" s="17" t="str">
        <x:v>Cost fix</x:v>
      </x:c>
      <x:c r="B24" s="17" t="str">
        <x:v>2 tehnicieni – cost total încărcat</x:v>
      </x:c>
      <x:c r="C24" s="23" t="n">
        <x:v>13000</x:v>
      </x:c>
      <x:c r="D24" s="17" t="str">
        <x:v>6.500 lei / tehnician</x:v>
      </x:c>
    </x:row>
    <x:row r="25">
      <x:c r="A25" s="17" t="str">
        <x:v>Cost fix</x:v>
      </x:c>
      <x:c r="B25" s="17" t="str">
        <x:v>Chirie</x:v>
      </x:c>
      <x:c r="C25" s="23" t="n">
        <x:v>5500</x:v>
      </x:c>
      <x:c r="D25" s="17" t="str">
        <x:v>Ipoteză; înlocuiește cu contractul real</x:v>
      </x:c>
    </x:row>
    <x:row r="26">
      <x:c r="A26" s="17" t="str">
        <x:v>Cost fix</x:v>
      </x:c>
      <x:c r="B26" s="17" t="str">
        <x:v>Utilități și apă</x:v>
      </x:c>
      <x:c r="C26" s="23" t="n">
        <x:v>2500</x:v>
      </x:c>
      <x:c r="D26" s="17" t="str">
        <x:v>Ipoteză</x:v>
      </x:c>
    </x:row>
    <x:row r="27">
      <x:c r="A27" s="17" t="str">
        <x:v>Cost fix</x:v>
      </x:c>
      <x:c r="B27" s="17" t="str">
        <x:v>Marketing și vânzări</x:v>
      </x:c>
      <x:c r="C27" s="23" t="n">
        <x:v>2500</x:v>
      </x:c>
      <x:c r="D27" s="17" t="str">
        <x:v>Outbound, conținut, media minimă</x:v>
      </x:c>
    </x:row>
    <x:row r="28">
      <x:c r="A28" s="17" t="str">
        <x:v>Cost fix</x:v>
      </x:c>
      <x:c r="B28" s="17" t="str">
        <x:v>Software, contabilitate, administrativ</x:v>
      </x:c>
      <x:c r="C28" s="23" t="n">
        <x:v>1400</x:v>
      </x:c>
      <x:c r="D28" s="17" t="str">
        <x:v>Ipoteză</x:v>
      </x:c>
    </x:row>
    <x:row r="29">
      <x:c r="A29" s="17" t="str">
        <x:v>Cost fix</x:v>
      </x:c>
      <x:c r="B29" s="17" t="str">
        <x:v>Asigurări și conformare</x:v>
      </x:c>
      <x:c r="C29" s="23" t="n">
        <x:v>800</x:v>
      </x:c>
      <x:c r="D29" s="17" t="str">
        <x:v>Ipoteză</x:v>
      </x:c>
    </x:row>
    <x:row r="30">
      <x:c r="A30" s="17" t="str">
        <x:v>Cost fix</x:v>
      </x:c>
      <x:c r="B30" s="17" t="str">
        <x:v>Transport și logistică</x:v>
      </x:c>
      <x:c r="C30" s="23" t="n">
        <x:v>1200</x:v>
      </x:c>
      <x:c r="D30" s="17" t="str">
        <x:v>Ipoteză</x:v>
      </x:c>
    </x:row>
    <x:row r="31">
      <x:c r="A31" s="17" t="str">
        <x:v>Cost fix</x:v>
      </x:c>
      <x:c r="B31" s="17" t="str">
        <x:v>Mentenanță și diverse</x:v>
      </x:c>
      <x:c r="C31" s="23" t="n">
        <x:v>1200</x:v>
      </x:c>
      <x:c r="D31" s="17" t="str">
        <x:v>Ipoteză</x:v>
      </x:c>
    </x:row>
    <x:row r="32">
      <x:c r="A32" s="17" t="str">
        <x:v>Control</x:v>
      </x:c>
      <x:c r="B32" s="17" t="str">
        <x:v>Costuri fixe totale</x:v>
      </x:c>
      <x:c r="C32" s="24" t="n">
        <x:f>SUM(C23:C31)</x:f>
        <x:v>35100</x:v>
      </x:c>
      <x:c r="D32" s="17" t="str">
        <x:v>Formula sumă</x:v>
      </x:c>
    </x:row>
    <x:row r="33">
      <x:c r="A33" s="17" t="str">
        <x:v>Control</x:v>
      </x:c>
      <x:c r="B33" s="17" t="str">
        <x:v>Capacitate utilizabilă țintă</x:v>
      </x:c>
      <x:c r="C33" s="22" t="n">
        <x:v>0.85</x:v>
      </x:c>
      <x:c r="D33" s="17" t="str">
        <x:v>Păstrează 15% buffer pentru rework și întârzieri</x:v>
      </x:c>
    </x:row>
    <x:row r="34">
      <x:c r="A34" s="17" t="str">
        <x:v>Control</x:v>
      </x:c>
      <x:c r="B34" s="17" t="str">
        <x:v>Buffer minim de cash</x:v>
      </x:c>
      <x:c r="C34" s="23" t="n">
        <x:v>45000</x:v>
      </x:c>
      <x:c r="D34" s="17" t="str">
        <x:v>Aproximativ 1,3 luni de cost fix</x:v>
      </x:c>
    </x:row>
    <x:row r="35">
      <x:c r="A35" s="17" t="str">
        <x:v>Funnel</x:v>
      </x:c>
      <x:c r="B35" s="17" t="str">
        <x:v>Țintă atingeri / lună</x:v>
      </x:c>
      <x:c r="C35" s="23" t="n">
        <x:v>120</x:v>
      </x:c>
      <x:c r="D35" s="17" t="str">
        <x:v>Cadru realist owner-led</x:v>
      </x:c>
    </x:row>
    <x:row r="36">
      <x:c r="A36" s="17" t="str">
        <x:v>Funnel</x:v>
      </x:c>
      <x:c r="B36" s="17" t="str">
        <x:v>Țintă discovery / lună</x:v>
      </x:c>
      <x:c r="C36" s="23" t="n">
        <x:v>5</x:v>
      </x:c>
      <x:c r="D36" s="17" t="str">
        <x:v>Conform obiectivului primului client</x:v>
      </x:c>
    </x:row>
    <x:row r="37">
      <x:c r="A37" s="17" t="str">
        <x:v>Funnel</x:v>
      </x:c>
      <x:c r="B37" s="17" t="str">
        <x:v>Țintă piloți ofertați / lună</x:v>
      </x:c>
      <x:c r="C37" s="23" t="n">
        <x:v>3</x:v>
      </x:c>
      <x:c r="D37" s="17" t="str">
        <x:v>Conform obiectivului primului client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1" hidden="0" customWidth="1"/>
    <x:col min="4" max="4" width="12" hidden="0" customWidth="1"/>
    <x:col min="5" max="5" width="12" hidden="0" customWidth="1"/>
    <x:col min="6" max="6" width="11" hidden="0" customWidth="1"/>
    <x:col min="7" max="7" width="15" hidden="0" customWidth="1"/>
    <x:col min="8" max="8" width="14" hidden="0" customWidth="1"/>
    <x:col min="9" max="9" width="16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4" hidden="0" customWidth="1"/>
    <x:col min="15" max="15" width="17" hidden="0" customWidth="1"/>
    <x:col min="16" max="16" width="16" hidden="0" customWidth="1"/>
    <x:col min="17" max="17" width="15" hidden="0" customWidth="1"/>
    <x:col min="18" max="18" width="16" hidden="0" customWidth="1"/>
    <x:col min="19" max="19" width="17" hidden="0" customWidth="1"/>
    <x:col min="20" max="20" width="13" hidden="0" customWidth="1"/>
    <x:col min="21" max="21" width="15" hidden="0" customWidth="1"/>
  </x:cols>
  <x:sheetData>
    <x:row r="1" ht="32" customHeight="1">
      <x:c r="A1" s="3" t="str">
        <x:v>NOVA DETAILING · MODEL FINANCIAR 12 LUNI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7" t="str">
        <x:v>Scenariu de bază: august 2026–iulie 2027. Profitabilitatea lunară apare numai dacă oferta B2B se convertește în clienți recurenți.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4" ht="30" customHeight="1">
      <x:c r="A4" s="13" t="str">
        <x:v>Lună</x:v>
      </x:c>
      <x:c r="B4" s="13" t="str">
        <x:v>Lucrări retail</x:v>
      </x:c>
      <x:c r="C4" s="13" t="str">
        <x:v>Piloți B2B</x:v>
      </x:c>
      <x:c r="D4" s="13" t="str">
        <x:v>Contracte noi</x:v>
      </x:c>
      <x:c r="E4" s="13" t="str">
        <x:v>Clienți activi</x:v>
      </x:c>
      <x:c r="F4" s="13" t="str">
        <x:v>Remedieri</x:v>
      </x:c>
      <x:c r="G4" s="13" t="str">
        <x:v>Venit retail</x:v>
      </x:c>
      <x:c r="H4" s="13" t="str">
        <x:v>Venit pilot</x:v>
      </x:c>
      <x:c r="I4" s="13" t="str">
        <x:v>Venit remedieri</x:v>
      </x:c>
      <x:c r="J4" s="13" t="str">
        <x:v>Venit recurent</x:v>
      </x:c>
      <x:c r="K4" s="13" t="str">
        <x:v>Venit total</x:v>
      </x:c>
      <x:c r="L4" s="13" t="str">
        <x:v>Cost variabil</x:v>
      </x:c>
      <x:c r="M4" s="13" t="str">
        <x:v>Contribuție</x:v>
      </x:c>
      <x:c r="N4" s="13" t="str">
        <x:v>Cost fix</x:v>
      </x:c>
      <x:c r="O4" s="13" t="str">
        <x:v>Rezultat operațional</x:v>
      </x:c>
      <x:c r="P4" s="13" t="str">
        <x:v>Rezultat cumulat</x:v>
      </x:c>
      <x:c r="Q4" s="13" t="str">
        <x:v>Cash final</x:v>
      </x:c>
      <x:c r="R4" s="13" t="str">
        <x:v>Zile-boxă folosite</x:v>
      </x:c>
      <x:c r="S4" s="13" t="str">
        <x:v>Capacitate utilizabilă</x:v>
      </x:c>
      <x:c r="T4" s="13" t="str">
        <x:v>Utilizare max.</x:v>
      </x:c>
      <x:c r="U4" s="13" t="str">
        <x:v>Check capacitate</x:v>
      </x:c>
    </x:row>
    <x:row r="5">
      <x:c r="A5" s="26" t="n">
        <x:v>46235</x:v>
      </x:c>
      <x:c r="B5" s="19" t="n">
        <x:v>8</x:v>
      </x:c>
      <x:c r="C5" s="19" t="n">
        <x:v>1</x:v>
      </x:c>
      <x:c r="D5" s="19" t="n">
        <x:v>0</x:v>
      </x:c>
      <x:c r="E5" s="17" t="n">
        <x:f>SUM($D$5:D5)</x:f>
        <x:v>0</x:v>
      </x:c>
      <x:c r="F5" s="17" t="n">
        <x:f>ROUND(C5*Ipoteze!$C$14*Ipoteze!$C$15,0)</x:f>
        <x:v>1</x:v>
      </x:c>
      <x:c r="G5" s="27" t="n">
        <x:f>B5*Ipoteze!$C$9</x:f>
        <x:v>22400</x:v>
      </x:c>
      <x:c r="H5" s="27" t="n">
        <x:f>C5*Ipoteze!$C$13</x:f>
        <x:v>1500</x:v>
      </x:c>
      <x:c r="I5" s="27" t="n">
        <x:f>F5*Ipoteze!$C$16</x:f>
        <x:v>2800</x:v>
      </x:c>
      <x:c r="J5" s="27" t="n">
        <x:f>E5*Ipoteze!$C$20</x:f>
        <x:v>0</x:v>
      </x:c>
      <x:c r="K5" s="27" t="n">
        <x:f>SUM(G5:J5)</x:f>
        <x:v>26700</x:v>
      </x:c>
      <x:c r="L5" s="27" t="n">
        <x:f>G5*Ipoteze!$C$11+H5*Ipoteze!$C$17+I5*Ipoteze!$C$18+J5*Ipoteze!$C$21</x:f>
        <x:v>7319</x:v>
      </x:c>
      <x:c r="M5" s="27" t="n">
        <x:f>K5-L5</x:f>
        <x:v>19381</x:v>
      </x:c>
      <x:c r="N5" s="27" t="n">
        <x:f>Ipoteze!$C$32</x:f>
        <x:v>35100</x:v>
      </x:c>
      <x:c r="O5" s="27" t="n">
        <x:f>M5-N5</x:f>
        <x:v>-15719</x:v>
      </x:c>
      <x:c r="P5" s="27" t="n">
        <x:f>SUM($O$5:O5)</x:f>
        <x:v>-15719</x:v>
      </x:c>
      <x:c r="Q5" s="27" t="n">
        <x:f>Ipoteze!$C$6+P5</x:f>
        <x:v>34281</x:v>
      </x:c>
      <x:c r="R5" s="28" t="n">
        <x:f>B5*Ipoteze!$C$10+C5*Ipoteze!$C$12+F5*Ipoteze!$C$19+E5*Ipoteze!$C$22</x:f>
        <x:v>15.75</x:v>
      </x:c>
      <x:c r="S5" s="28" t="n">
        <x:f>Ipoteze!$C$7*Ipoteze!$C$8*Ipoteze!$C$33</x:f>
        <x:v>37.4</x:v>
      </x:c>
      <x:c r="T5" s="29" t="n">
        <x:f>R5/(Ipoteze!$C$7*Ipoteze!$C$8)</x:f>
        <x:v>0.35795454545454547</x:v>
      </x:c>
      <x:c r="U5" s="17" t="str">
        <x:f>IF(R5&lt;=S5,"PASS","OVER")</x:f>
        <x:v>PASS</x:v>
      </x:c>
    </x:row>
    <x:row r="6">
      <x:c r="A6" s="26" t="n">
        <x:v>46266</x:v>
      </x:c>
      <x:c r="B6" s="19" t="n">
        <x:v>9</x:v>
      </x:c>
      <x:c r="C6" s="19" t="n">
        <x:v>2</x:v>
      </x:c>
      <x:c r="D6" s="19" t="n">
        <x:v>0</x:v>
      </x:c>
      <x:c r="E6" s="17" t="n">
        <x:f>SUM($D$5:D6)</x:f>
        <x:v>0</x:v>
      </x:c>
      <x:c r="F6" s="17" t="n">
        <x:f>ROUND(C6*Ipoteze!$C$14*Ipoteze!$C$15,0)</x:f>
        <x:v>2</x:v>
      </x:c>
      <x:c r="G6" s="27" t="n">
        <x:f>B6*Ipoteze!$C$9</x:f>
        <x:v>25200</x:v>
      </x:c>
      <x:c r="H6" s="27" t="n">
        <x:f>C6*Ipoteze!$C$13</x:f>
        <x:v>3000</x:v>
      </x:c>
      <x:c r="I6" s="27" t="n">
        <x:f>F6*Ipoteze!$C$16</x:f>
        <x:v>5600</x:v>
      </x:c>
      <x:c r="J6" s="27" t="n">
        <x:f>E6*Ipoteze!$C$20</x:f>
        <x:v>0</x:v>
      </x:c>
      <x:c r="K6" s="27" t="n">
        <x:f>SUM(G6:J6)</x:f>
        <x:v>33800</x:v>
      </x:c>
      <x:c r="L6" s="27" t="n">
        <x:f>G6*Ipoteze!$C$11+H6*Ipoteze!$C$17+I6*Ipoteze!$C$18+J6*Ipoteze!$C$21</x:f>
        <x:v>9346</x:v>
      </x:c>
      <x:c r="M6" s="27" t="n">
        <x:f>K6-L6</x:f>
        <x:v>24454</x:v>
      </x:c>
      <x:c r="N6" s="27" t="n">
        <x:f>Ipoteze!$C$32</x:f>
        <x:v>35100</x:v>
      </x:c>
      <x:c r="O6" s="27" t="n">
        <x:f>M6-N6</x:f>
        <x:v>-10646</x:v>
      </x:c>
      <x:c r="P6" s="27" t="n">
        <x:f>SUM($O$5:O6)</x:f>
        <x:v>-26365</x:v>
      </x:c>
      <x:c r="Q6" s="27" t="n">
        <x:f>Ipoteze!$C$6+P6</x:f>
        <x:v>23635</x:v>
      </x:c>
      <x:c r="R6" s="28" t="n">
        <x:f>B6*Ipoteze!$C$10+C6*Ipoteze!$C$12+F6*Ipoteze!$C$19+E6*Ipoteze!$C$22</x:f>
        <x:v>18.9</x:v>
      </x:c>
      <x:c r="S6" s="28" t="n">
        <x:f>Ipoteze!$C$7*Ipoteze!$C$8*Ipoteze!$C$33</x:f>
        <x:v>37.4</x:v>
      </x:c>
      <x:c r="T6" s="29" t="n">
        <x:f>R6/(Ipoteze!$C$7*Ipoteze!$C$8)</x:f>
        <x:v>0.4295454545454545</x:v>
      </x:c>
      <x:c r="U6" s="17" t="str">
        <x:f>IF(R6&lt;=S6,"PASS","OVER")</x:f>
        <x:v>PASS</x:v>
      </x:c>
    </x:row>
    <x:row r="7">
      <x:c r="A7" s="26" t="n">
        <x:v>46296</x:v>
      </x:c>
      <x:c r="B7" s="19" t="n">
        <x:v>9</x:v>
      </x:c>
      <x:c r="C7" s="19" t="n">
        <x:v>2</x:v>
      </x:c>
      <x:c r="D7" s="19" t="n">
        <x:v>1</x:v>
      </x:c>
      <x:c r="E7" s="17" t="n">
        <x:f>SUM($D$5:D7)</x:f>
        <x:v>1</x:v>
      </x:c>
      <x:c r="F7" s="17" t="n">
        <x:f>ROUND(C7*Ipoteze!$C$14*Ipoteze!$C$15,0)</x:f>
        <x:v>2</x:v>
      </x:c>
      <x:c r="G7" s="27" t="n">
        <x:f>B7*Ipoteze!$C$9</x:f>
        <x:v>25200</x:v>
      </x:c>
      <x:c r="H7" s="27" t="n">
        <x:f>C7*Ipoteze!$C$13</x:f>
        <x:v>3000</x:v>
      </x:c>
      <x:c r="I7" s="27" t="n">
        <x:f>F7*Ipoteze!$C$16</x:f>
        <x:v>5600</x:v>
      </x:c>
      <x:c r="J7" s="27" t="n">
        <x:f>E7*Ipoteze!$C$20</x:f>
        <x:v>4800</x:v>
      </x:c>
      <x:c r="K7" s="27" t="n">
        <x:f>SUM(G7:J7)</x:f>
        <x:v>38600</x:v>
      </x:c>
      <x:c r="L7" s="27" t="n">
        <x:f>G7*Ipoteze!$C$11+H7*Ipoteze!$C$17+I7*Ipoteze!$C$18+J7*Ipoteze!$C$21</x:f>
        <x:v>10786</x:v>
      </x:c>
      <x:c r="M7" s="27" t="n">
        <x:f>K7-L7</x:f>
        <x:v>27814</x:v>
      </x:c>
      <x:c r="N7" s="27" t="n">
        <x:f>Ipoteze!$C$32</x:f>
        <x:v>35100</x:v>
      </x:c>
      <x:c r="O7" s="27" t="n">
        <x:f>M7-N7</x:f>
        <x:v>-7286</x:v>
      </x:c>
      <x:c r="P7" s="27" t="n">
        <x:f>SUM($O$5:O7)</x:f>
        <x:v>-33651</x:v>
      </x:c>
      <x:c r="Q7" s="27" t="n">
        <x:f>Ipoteze!$C$6+P7</x:f>
        <x:v>16349</x:v>
      </x:c>
      <x:c r="R7" s="28" t="n">
        <x:f>B7*Ipoteze!$C$10+C7*Ipoteze!$C$12+F7*Ipoteze!$C$19+E7*Ipoteze!$C$22</x:f>
        <x:v>20.7</x:v>
      </x:c>
      <x:c r="S7" s="28" t="n">
        <x:f>Ipoteze!$C$7*Ipoteze!$C$8*Ipoteze!$C$33</x:f>
        <x:v>37.4</x:v>
      </x:c>
      <x:c r="T7" s="29" t="n">
        <x:f>R7/(Ipoteze!$C$7*Ipoteze!$C$8)</x:f>
        <x:v>0.47045454545454546</x:v>
      </x:c>
      <x:c r="U7" s="17" t="str">
        <x:f>IF(R7&lt;=S7,"PASS","OVER")</x:f>
        <x:v>PASS</x:v>
      </x:c>
    </x:row>
    <x:row r="8">
      <x:c r="A8" s="26" t="n">
        <x:v>46327</x:v>
      </x:c>
      <x:c r="B8" s="19" t="n">
        <x:v>10</x:v>
      </x:c>
      <x:c r="C8" s="19" t="n">
        <x:v>3</x:v>
      </x:c>
      <x:c r="D8" s="19" t="n">
        <x:v>0</x:v>
      </x:c>
      <x:c r="E8" s="17" t="n">
        <x:f>SUM($D$5:D8)</x:f>
        <x:v>1</x:v>
      </x:c>
      <x:c r="F8" s="17" t="n">
        <x:f>ROUND(C8*Ipoteze!$C$14*Ipoteze!$C$15,0)</x:f>
        <x:v>3</x:v>
      </x:c>
      <x:c r="G8" s="27" t="n">
        <x:f>B8*Ipoteze!$C$9</x:f>
        <x:v>28000</x:v>
      </x:c>
      <x:c r="H8" s="27" t="n">
        <x:f>C8*Ipoteze!$C$13</x:f>
        <x:v>4500</x:v>
      </x:c>
      <x:c r="I8" s="27" t="n">
        <x:f>F8*Ipoteze!$C$16</x:f>
        <x:v>8400</x:v>
      </x:c>
      <x:c r="J8" s="27" t="n">
        <x:f>E8*Ipoteze!$C$20</x:f>
        <x:v>4800</x:v>
      </x:c>
      <x:c r="K8" s="27" t="n">
        <x:f>SUM(G8:J8)</x:f>
        <x:v>45700</x:v>
      </x:c>
      <x:c r="L8" s="27" t="n">
        <x:f>G8*Ipoteze!$C$11+H8*Ipoteze!$C$17+I8*Ipoteze!$C$18+J8*Ipoteze!$C$21</x:f>
        <x:v>12813</x:v>
      </x:c>
      <x:c r="M8" s="27" t="n">
        <x:f>K8-L8</x:f>
        <x:v>32887</x:v>
      </x:c>
      <x:c r="N8" s="27" t="n">
        <x:f>Ipoteze!$C$32</x:f>
        <x:v>35100</x:v>
      </x:c>
      <x:c r="O8" s="27" t="n">
        <x:f>M8-N8</x:f>
        <x:v>-2213</x:v>
      </x:c>
      <x:c r="P8" s="27" t="n">
        <x:f>SUM($O$5:O8)</x:f>
        <x:v>-35864</x:v>
      </x:c>
      <x:c r="Q8" s="27" t="n">
        <x:f>Ipoteze!$C$6+P8</x:f>
        <x:v>14136</x:v>
      </x:c>
      <x:c r="R8" s="28" t="n">
        <x:f>B8*Ipoteze!$C$10+C8*Ipoteze!$C$12+F8*Ipoteze!$C$19+E8*Ipoteze!$C$22</x:f>
        <x:v>23.849999999999998</x:v>
      </x:c>
      <x:c r="S8" s="28" t="n">
        <x:f>Ipoteze!$C$7*Ipoteze!$C$8*Ipoteze!$C$33</x:f>
        <x:v>37.4</x:v>
      </x:c>
      <x:c r="T8" s="29" t="n">
        <x:f>R8/(Ipoteze!$C$7*Ipoteze!$C$8)</x:f>
        <x:v>0.5420454545454545</x:v>
      </x:c>
      <x:c r="U8" s="17" t="str">
        <x:f>IF(R8&lt;=S8,"PASS","OVER")</x:f>
        <x:v>PASS</x:v>
      </x:c>
    </x:row>
    <x:row r="9">
      <x:c r="A9" s="26" t="n">
        <x:v>46357</x:v>
      </x:c>
      <x:c r="B9" s="19" t="n">
        <x:v>9</x:v>
      </x:c>
      <x:c r="C9" s="19" t="n">
        <x:v>2</x:v>
      </x:c>
      <x:c r="D9" s="19" t="n">
        <x:v>1</x:v>
      </x:c>
      <x:c r="E9" s="17" t="n">
        <x:f>SUM($D$5:D9)</x:f>
        <x:v>2</x:v>
      </x:c>
      <x:c r="F9" s="17" t="n">
        <x:f>ROUND(C9*Ipoteze!$C$14*Ipoteze!$C$15,0)</x:f>
        <x:v>2</x:v>
      </x:c>
      <x:c r="G9" s="27" t="n">
        <x:f>B9*Ipoteze!$C$9</x:f>
        <x:v>25200</x:v>
      </x:c>
      <x:c r="H9" s="27" t="n">
        <x:f>C9*Ipoteze!$C$13</x:f>
        <x:v>3000</x:v>
      </x:c>
      <x:c r="I9" s="27" t="n">
        <x:f>F9*Ipoteze!$C$16</x:f>
        <x:v>5600</x:v>
      </x:c>
      <x:c r="J9" s="27" t="n">
        <x:f>E9*Ipoteze!$C$20</x:f>
        <x:v>9600</x:v>
      </x:c>
      <x:c r="K9" s="27" t="n">
        <x:f>SUM(G9:J9)</x:f>
        <x:v>43400</x:v>
      </x:c>
      <x:c r="L9" s="27" t="n">
        <x:f>G9*Ipoteze!$C$11+H9*Ipoteze!$C$17+I9*Ipoteze!$C$18+J9*Ipoteze!$C$21</x:f>
        <x:v>12226</x:v>
      </x:c>
      <x:c r="M9" s="27" t="n">
        <x:f>K9-L9</x:f>
        <x:v>31174</x:v>
      </x:c>
      <x:c r="N9" s="27" t="n">
        <x:f>Ipoteze!$C$32</x:f>
        <x:v>35100</x:v>
      </x:c>
      <x:c r="O9" s="27" t="n">
        <x:f>M9-N9</x:f>
        <x:v>-3926</x:v>
      </x:c>
      <x:c r="P9" s="27" t="n">
        <x:f>SUM($O$5:O9)</x:f>
        <x:v>-39790</x:v>
      </x:c>
      <x:c r="Q9" s="27" t="n">
        <x:f>Ipoteze!$C$6+P9</x:f>
        <x:v>10210</x:v>
      </x:c>
      <x:c r="R9" s="28" t="n">
        <x:f>B9*Ipoteze!$C$10+C9*Ipoteze!$C$12+F9*Ipoteze!$C$19+E9*Ipoteze!$C$22</x:f>
        <x:v>22.5</x:v>
      </x:c>
      <x:c r="S9" s="28" t="n">
        <x:f>Ipoteze!$C$7*Ipoteze!$C$8*Ipoteze!$C$33</x:f>
        <x:v>37.4</x:v>
      </x:c>
      <x:c r="T9" s="29" t="n">
        <x:f>R9/(Ipoteze!$C$7*Ipoteze!$C$8)</x:f>
        <x:v>0.5113636363636364</x:v>
      </x:c>
      <x:c r="U9" s="17" t="str">
        <x:f>IF(R9&lt;=S9,"PASS","OVER")</x:f>
        <x:v>PASS</x:v>
      </x:c>
    </x:row>
    <x:row r="10">
      <x:c r="A10" s="26" t="n">
        <x:v>46388</x:v>
      </x:c>
      <x:c r="B10" s="19" t="n">
        <x:v>10</x:v>
      </x:c>
      <x:c r="C10" s="19" t="n">
        <x:v>3</x:v>
      </x:c>
      <x:c r="D10" s="19" t="n">
        <x:v>0</x:v>
      </x:c>
      <x:c r="E10" s="17" t="n">
        <x:f>SUM($D$5:D10)</x:f>
        <x:v>2</x:v>
      </x:c>
      <x:c r="F10" s="17" t="n">
        <x:f>ROUND(C10*Ipoteze!$C$14*Ipoteze!$C$15,0)</x:f>
        <x:v>3</x:v>
      </x:c>
      <x:c r="G10" s="27" t="n">
        <x:f>B10*Ipoteze!$C$9</x:f>
        <x:v>28000</x:v>
      </x:c>
      <x:c r="H10" s="27" t="n">
        <x:f>C10*Ipoteze!$C$13</x:f>
        <x:v>4500</x:v>
      </x:c>
      <x:c r="I10" s="27" t="n">
        <x:f>F10*Ipoteze!$C$16</x:f>
        <x:v>8400</x:v>
      </x:c>
      <x:c r="J10" s="27" t="n">
        <x:f>E10*Ipoteze!$C$20</x:f>
        <x:v>9600</x:v>
      </x:c>
      <x:c r="K10" s="27" t="n">
        <x:f>SUM(G10:J10)</x:f>
        <x:v>50500</x:v>
      </x:c>
      <x:c r="L10" s="27" t="n">
        <x:f>G10*Ipoteze!$C$11+H10*Ipoteze!$C$17+I10*Ipoteze!$C$18+J10*Ipoteze!$C$21</x:f>
        <x:v>14253</x:v>
      </x:c>
      <x:c r="M10" s="27" t="n">
        <x:f>K10-L10</x:f>
        <x:v>36247</x:v>
      </x:c>
      <x:c r="N10" s="27" t="n">
        <x:f>Ipoteze!$C$32</x:f>
        <x:v>35100</x:v>
      </x:c>
      <x:c r="O10" s="27" t="n">
        <x:f>M10-N10</x:f>
        <x:v>1147</x:v>
      </x:c>
      <x:c r="P10" s="27" t="n">
        <x:f>SUM($O$5:O10)</x:f>
        <x:v>-38643</x:v>
      </x:c>
      <x:c r="Q10" s="27" t="n">
        <x:f>Ipoteze!$C$6+P10</x:f>
        <x:v>11357</x:v>
      </x:c>
      <x:c r="R10" s="28" t="n">
        <x:f>B10*Ipoteze!$C$10+C10*Ipoteze!$C$12+F10*Ipoteze!$C$19+E10*Ipoteze!$C$22</x:f>
        <x:v>25.65</x:v>
      </x:c>
      <x:c r="S10" s="28" t="n">
        <x:f>Ipoteze!$C$7*Ipoteze!$C$8*Ipoteze!$C$33</x:f>
        <x:v>37.4</x:v>
      </x:c>
      <x:c r="T10" s="29" t="n">
        <x:f>R10/(Ipoteze!$C$7*Ipoteze!$C$8)</x:f>
        <x:v>0.5829545454545454</x:v>
      </x:c>
      <x:c r="U10" s="17" t="str">
        <x:f>IF(R10&lt;=S10,"PASS","OVER")</x:f>
        <x:v>PASS</x:v>
      </x:c>
    </x:row>
    <x:row r="11">
      <x:c r="A11" s="26" t="n">
        <x:v>46419</x:v>
      </x:c>
      <x:c r="B11" s="19" t="n">
        <x:v>10</x:v>
      </x:c>
      <x:c r="C11" s="19" t="n">
        <x:v>3</x:v>
      </x:c>
      <x:c r="D11" s="19" t="n">
        <x:v>1</x:v>
      </x:c>
      <x:c r="E11" s="17" t="n">
        <x:f>SUM($D$5:D11)</x:f>
        <x:v>3</x:v>
      </x:c>
      <x:c r="F11" s="17" t="n">
        <x:f>ROUND(C11*Ipoteze!$C$14*Ipoteze!$C$15,0)</x:f>
        <x:v>3</x:v>
      </x:c>
      <x:c r="G11" s="27" t="n">
        <x:f>B11*Ipoteze!$C$9</x:f>
        <x:v>28000</x:v>
      </x:c>
      <x:c r="H11" s="27" t="n">
        <x:f>C11*Ipoteze!$C$13</x:f>
        <x:v>4500</x:v>
      </x:c>
      <x:c r="I11" s="27" t="n">
        <x:f>F11*Ipoteze!$C$16</x:f>
        <x:v>8400</x:v>
      </x:c>
      <x:c r="J11" s="27" t="n">
        <x:f>E11*Ipoteze!$C$20</x:f>
        <x:v>14400</x:v>
      </x:c>
      <x:c r="K11" s="27" t="n">
        <x:f>SUM(G11:J11)</x:f>
        <x:v>55300</x:v>
      </x:c>
      <x:c r="L11" s="27" t="n">
        <x:f>G11*Ipoteze!$C$11+H11*Ipoteze!$C$17+I11*Ipoteze!$C$18+J11*Ipoteze!$C$21</x:f>
        <x:v>15693</x:v>
      </x:c>
      <x:c r="M11" s="27" t="n">
        <x:f>K11-L11</x:f>
        <x:v>39607</x:v>
      </x:c>
      <x:c r="N11" s="27" t="n">
        <x:f>Ipoteze!$C$32</x:f>
        <x:v>35100</x:v>
      </x:c>
      <x:c r="O11" s="27" t="n">
        <x:f>M11-N11</x:f>
        <x:v>4507</x:v>
      </x:c>
      <x:c r="P11" s="27" t="n">
        <x:f>SUM($O$5:O11)</x:f>
        <x:v>-34136</x:v>
      </x:c>
      <x:c r="Q11" s="27" t="n">
        <x:f>Ipoteze!$C$6+P11</x:f>
        <x:v>15864</x:v>
      </x:c>
      <x:c r="R11" s="28" t="n">
        <x:f>B11*Ipoteze!$C$10+C11*Ipoteze!$C$12+F11*Ipoteze!$C$19+E11*Ipoteze!$C$22</x:f>
        <x:v>27.449999999999996</x:v>
      </x:c>
      <x:c r="S11" s="28" t="n">
        <x:f>Ipoteze!$C$7*Ipoteze!$C$8*Ipoteze!$C$33</x:f>
        <x:v>37.4</x:v>
      </x:c>
      <x:c r="T11" s="29" t="n">
        <x:f>R11/(Ipoteze!$C$7*Ipoteze!$C$8)</x:f>
        <x:v>0.6238636363636363</x:v>
      </x:c>
      <x:c r="U11" s="17" t="str">
        <x:f>IF(R11&lt;=S11,"PASS","OVER")</x:f>
        <x:v>PASS</x:v>
      </x:c>
    </x:row>
    <x:row r="12">
      <x:c r="A12" s="26" t="n">
        <x:v>46447</x:v>
      </x:c>
      <x:c r="B12" s="19" t="n">
        <x:v>11</x:v>
      </x:c>
      <x:c r="C12" s="19" t="n">
        <x:v>3</x:v>
      </x:c>
      <x:c r="D12" s="19" t="n">
        <x:v>0</x:v>
      </x:c>
      <x:c r="E12" s="17" t="n">
        <x:f>SUM($D$5:D12)</x:f>
        <x:v>3</x:v>
      </x:c>
      <x:c r="F12" s="17" t="n">
        <x:f>ROUND(C12*Ipoteze!$C$14*Ipoteze!$C$15,0)</x:f>
        <x:v>3</x:v>
      </x:c>
      <x:c r="G12" s="27" t="n">
        <x:f>B12*Ipoteze!$C$9</x:f>
        <x:v>30800</x:v>
      </x:c>
      <x:c r="H12" s="27" t="n">
        <x:f>C12*Ipoteze!$C$13</x:f>
        <x:v>4500</x:v>
      </x:c>
      <x:c r="I12" s="27" t="n">
        <x:f>F12*Ipoteze!$C$16</x:f>
        <x:v>8400</x:v>
      </x:c>
      <x:c r="J12" s="27" t="n">
        <x:f>E12*Ipoteze!$C$20</x:f>
        <x:v>14400</x:v>
      </x:c>
      <x:c r="K12" s="27" t="n">
        <x:f>SUM(G12:J12)</x:f>
        <x:v>58100</x:v>
      </x:c>
      <x:c r="L12" s="27" t="n">
        <x:f>G12*Ipoteze!$C$11+H12*Ipoteze!$C$17+I12*Ipoteze!$C$18+J12*Ipoteze!$C$21</x:f>
        <x:v>16449</x:v>
      </x:c>
      <x:c r="M12" s="27" t="n">
        <x:f>K12-L12</x:f>
        <x:v>41651</x:v>
      </x:c>
      <x:c r="N12" s="27" t="n">
        <x:f>Ipoteze!$C$32</x:f>
        <x:v>35100</x:v>
      </x:c>
      <x:c r="O12" s="27" t="n">
        <x:f>M12-N12</x:f>
        <x:v>6551</x:v>
      </x:c>
      <x:c r="P12" s="27" t="n">
        <x:f>SUM($O$5:O12)</x:f>
        <x:v>-27585</x:v>
      </x:c>
      <x:c r="Q12" s="27" t="n">
        <x:f>Ipoteze!$C$6+P12</x:f>
        <x:v>22415</x:v>
      </x:c>
      <x:c r="R12" s="28" t="n">
        <x:f>B12*Ipoteze!$C$10+C12*Ipoteze!$C$12+F12*Ipoteze!$C$19+E12*Ipoteze!$C$22</x:f>
        <x:v>29.25</x:v>
      </x:c>
      <x:c r="S12" s="28" t="n">
        <x:f>Ipoteze!$C$7*Ipoteze!$C$8*Ipoteze!$C$33</x:f>
        <x:v>37.4</x:v>
      </x:c>
      <x:c r="T12" s="29" t="n">
        <x:f>R12/(Ipoteze!$C$7*Ipoteze!$C$8)</x:f>
        <x:v>0.6647727272727273</x:v>
      </x:c>
      <x:c r="U12" s="17" t="str">
        <x:f>IF(R12&lt;=S12,"PASS","OVER")</x:f>
        <x:v>PASS</x:v>
      </x:c>
    </x:row>
    <x:row r="13">
      <x:c r="A13" s="26" t="n">
        <x:v>46478</x:v>
      </x:c>
      <x:c r="B13" s="19" t="n">
        <x:v>11</x:v>
      </x:c>
      <x:c r="C13" s="19" t="n">
        <x:v>3</x:v>
      </x:c>
      <x:c r="D13" s="19" t="n">
        <x:v>1</x:v>
      </x:c>
      <x:c r="E13" s="17" t="n">
        <x:f>SUM($D$5:D13)</x:f>
        <x:v>4</x:v>
      </x:c>
      <x:c r="F13" s="17" t="n">
        <x:f>ROUND(C13*Ipoteze!$C$14*Ipoteze!$C$15,0)</x:f>
        <x:v>3</x:v>
      </x:c>
      <x:c r="G13" s="27" t="n">
        <x:f>B13*Ipoteze!$C$9</x:f>
        <x:v>30800</x:v>
      </x:c>
      <x:c r="H13" s="27" t="n">
        <x:f>C13*Ipoteze!$C$13</x:f>
        <x:v>4500</x:v>
      </x:c>
      <x:c r="I13" s="27" t="n">
        <x:f>F13*Ipoteze!$C$16</x:f>
        <x:v>8400</x:v>
      </x:c>
      <x:c r="J13" s="27" t="n">
        <x:f>E13*Ipoteze!$C$20</x:f>
        <x:v>19200</x:v>
      </x:c>
      <x:c r="K13" s="27" t="n">
        <x:f>SUM(G13:J13)</x:f>
        <x:v>62900</x:v>
      </x:c>
      <x:c r="L13" s="27" t="n">
        <x:f>G13*Ipoteze!$C$11+H13*Ipoteze!$C$17+I13*Ipoteze!$C$18+J13*Ipoteze!$C$21</x:f>
        <x:v>17889</x:v>
      </x:c>
      <x:c r="M13" s="27" t="n">
        <x:f>K13-L13</x:f>
        <x:v>45011</x:v>
      </x:c>
      <x:c r="N13" s="27" t="n">
        <x:f>Ipoteze!$C$32</x:f>
        <x:v>35100</x:v>
      </x:c>
      <x:c r="O13" s="27" t="n">
        <x:f>M13-N13</x:f>
        <x:v>9911</x:v>
      </x:c>
      <x:c r="P13" s="27" t="n">
        <x:f>SUM($O$5:O13)</x:f>
        <x:v>-17674</x:v>
      </x:c>
      <x:c r="Q13" s="27" t="n">
        <x:f>Ipoteze!$C$6+P13</x:f>
        <x:v>32326</x:v>
      </x:c>
      <x:c r="R13" s="28" t="n">
        <x:f>B13*Ipoteze!$C$10+C13*Ipoteze!$C$12+F13*Ipoteze!$C$19+E13*Ipoteze!$C$22</x:f>
        <x:v>31.05</x:v>
      </x:c>
      <x:c r="S13" s="28" t="n">
        <x:f>Ipoteze!$C$7*Ipoteze!$C$8*Ipoteze!$C$33</x:f>
        <x:v>37.4</x:v>
      </x:c>
      <x:c r="T13" s="29" t="n">
        <x:f>R13/(Ipoteze!$C$7*Ipoteze!$C$8)</x:f>
        <x:v>0.7056818181818182</x:v>
      </x:c>
      <x:c r="U13" s="17" t="str">
        <x:f>IF(R13&lt;=S13,"PASS","OVER")</x:f>
        <x:v>PASS</x:v>
      </x:c>
    </x:row>
    <x:row r="14">
      <x:c r="A14" s="26" t="n">
        <x:v>46508</x:v>
      </x:c>
      <x:c r="B14" s="19" t="n">
        <x:v>12</x:v>
      </x:c>
      <x:c r="C14" s="19" t="n">
        <x:v>3</x:v>
      </x:c>
      <x:c r="D14" s="19" t="n">
        <x:v>0</x:v>
      </x:c>
      <x:c r="E14" s="17" t="n">
        <x:f>SUM($D$5:D14)</x:f>
        <x:v>4</x:v>
      </x:c>
      <x:c r="F14" s="17" t="n">
        <x:f>ROUND(C14*Ipoteze!$C$14*Ipoteze!$C$15,0)</x:f>
        <x:v>3</x:v>
      </x:c>
      <x:c r="G14" s="27" t="n">
        <x:f>B14*Ipoteze!$C$9</x:f>
        <x:v>33600</x:v>
      </x:c>
      <x:c r="H14" s="27" t="n">
        <x:f>C14*Ipoteze!$C$13</x:f>
        <x:v>4500</x:v>
      </x:c>
      <x:c r="I14" s="27" t="n">
        <x:f>F14*Ipoteze!$C$16</x:f>
        <x:v>8400</x:v>
      </x:c>
      <x:c r="J14" s="27" t="n">
        <x:f>E14*Ipoteze!$C$20</x:f>
        <x:v>19200</x:v>
      </x:c>
      <x:c r="K14" s="27" t="n">
        <x:f>SUM(G14:J14)</x:f>
        <x:v>65700</x:v>
      </x:c>
      <x:c r="L14" s="27" t="n">
        <x:f>G14*Ipoteze!$C$11+H14*Ipoteze!$C$17+I14*Ipoteze!$C$18+J14*Ipoteze!$C$21</x:f>
        <x:v>18645</x:v>
      </x:c>
      <x:c r="M14" s="27" t="n">
        <x:f>K14-L14</x:f>
        <x:v>47055</x:v>
      </x:c>
      <x:c r="N14" s="27" t="n">
        <x:f>Ipoteze!$C$32</x:f>
        <x:v>35100</x:v>
      </x:c>
      <x:c r="O14" s="27" t="n">
        <x:f>M14-N14</x:f>
        <x:v>11955</x:v>
      </x:c>
      <x:c r="P14" s="27" t="n">
        <x:f>SUM($O$5:O14)</x:f>
        <x:v>-5719</x:v>
      </x:c>
      <x:c r="Q14" s="27" t="n">
        <x:f>Ipoteze!$C$6+P14</x:f>
        <x:v>44281</x:v>
      </x:c>
      <x:c r="R14" s="28" t="n">
        <x:f>B14*Ipoteze!$C$10+C14*Ipoteze!$C$12+F14*Ipoteze!$C$19+E14*Ipoteze!$C$22</x:f>
        <x:v>32.85</x:v>
      </x:c>
      <x:c r="S14" s="28" t="n">
        <x:f>Ipoteze!$C$7*Ipoteze!$C$8*Ipoteze!$C$33</x:f>
        <x:v>37.4</x:v>
      </x:c>
      <x:c r="T14" s="29" t="n">
        <x:f>R14/(Ipoteze!$C$7*Ipoteze!$C$8)</x:f>
        <x:v>0.7465909090909091</x:v>
      </x:c>
      <x:c r="U14" s="17" t="str">
        <x:f>IF(R14&lt;=S14,"PASS","OVER")</x:f>
        <x:v>PASS</x:v>
      </x:c>
    </x:row>
    <x:row r="15">
      <x:c r="A15" s="26" t="n">
        <x:v>46539</x:v>
      </x:c>
      <x:c r="B15" s="19" t="n">
        <x:v>12</x:v>
      </x:c>
      <x:c r="C15" s="19" t="n">
        <x:v>4</x:v>
      </x:c>
      <x:c r="D15" s="19" t="n">
        <x:v>1</x:v>
      </x:c>
      <x:c r="E15" s="17" t="n">
        <x:f>SUM($D$5:D15)</x:f>
        <x:v>5</x:v>
      </x:c>
      <x:c r="F15" s="17" t="n">
        <x:f>ROUND(C15*Ipoteze!$C$14*Ipoteze!$C$15,0)</x:f>
        <x:v>4</x:v>
      </x:c>
      <x:c r="G15" s="27" t="n">
        <x:f>B15*Ipoteze!$C$9</x:f>
        <x:v>33600</x:v>
      </x:c>
      <x:c r="H15" s="27" t="n">
        <x:f>C15*Ipoteze!$C$13</x:f>
        <x:v>6000</x:v>
      </x:c>
      <x:c r="I15" s="27" t="n">
        <x:f>F15*Ipoteze!$C$16</x:f>
        <x:v>11200</x:v>
      </x:c>
      <x:c r="J15" s="27" t="n">
        <x:f>E15*Ipoteze!$C$20</x:f>
        <x:v>24000</x:v>
      </x:c>
      <x:c r="K15" s="27" t="n">
        <x:f>SUM(G15:J15)</x:f>
        <x:v>74800</x:v>
      </x:c>
      <x:c r="L15" s="27" t="n">
        <x:f>G15*Ipoteze!$C$11+H15*Ipoteze!$C$17+I15*Ipoteze!$C$18+J15*Ipoteze!$C$21</x:f>
        <x:v>21356</x:v>
      </x:c>
      <x:c r="M15" s="27" t="n">
        <x:f>K15-L15</x:f>
        <x:v>53444</x:v>
      </x:c>
      <x:c r="N15" s="27" t="n">
        <x:f>Ipoteze!$C$32</x:f>
        <x:v>35100</x:v>
      </x:c>
      <x:c r="O15" s="27" t="n">
        <x:f>M15-N15</x:f>
        <x:v>18344</x:v>
      </x:c>
      <x:c r="P15" s="27" t="n">
        <x:f>SUM($O$5:O15)</x:f>
        <x:v>12625</x:v>
      </x:c>
      <x:c r="Q15" s="27" t="n">
        <x:f>Ipoteze!$C$6+P15</x:f>
        <x:v>62625</x:v>
      </x:c>
      <x:c r="R15" s="28" t="n">
        <x:f>B15*Ipoteze!$C$10+C15*Ipoteze!$C$12+F15*Ipoteze!$C$19+E15*Ipoteze!$C$22</x:f>
        <x:v>36</x:v>
      </x:c>
      <x:c r="S15" s="28" t="n">
        <x:f>Ipoteze!$C$7*Ipoteze!$C$8*Ipoteze!$C$33</x:f>
        <x:v>37.4</x:v>
      </x:c>
      <x:c r="T15" s="29" t="n">
        <x:f>R15/(Ipoteze!$C$7*Ipoteze!$C$8)</x:f>
        <x:v>0.8181818181818182</x:v>
      </x:c>
      <x:c r="U15" s="17" t="str">
        <x:f>IF(R15&lt;=S15,"PASS","OVER")</x:f>
        <x:v>PASS</x:v>
      </x:c>
    </x:row>
    <x:row r="16">
      <x:c r="A16" s="26" t="n">
        <x:v>46569</x:v>
      </x:c>
      <x:c r="B16" s="19" t="n">
        <x:v>12</x:v>
      </x:c>
      <x:c r="C16" s="19" t="n">
        <x:v>4</x:v>
      </x:c>
      <x:c r="D16" s="19" t="n">
        <x:v>0</x:v>
      </x:c>
      <x:c r="E16" s="17" t="n">
        <x:f>SUM($D$5:D16)</x:f>
        <x:v>5</x:v>
      </x:c>
      <x:c r="F16" s="17" t="n">
        <x:f>ROUND(C16*Ipoteze!$C$14*Ipoteze!$C$15,0)</x:f>
        <x:v>4</x:v>
      </x:c>
      <x:c r="G16" s="27" t="n">
        <x:f>B16*Ipoteze!$C$9</x:f>
        <x:v>33600</x:v>
      </x:c>
      <x:c r="H16" s="27" t="n">
        <x:f>C16*Ipoteze!$C$13</x:f>
        <x:v>6000</x:v>
      </x:c>
      <x:c r="I16" s="27" t="n">
        <x:f>F16*Ipoteze!$C$16</x:f>
        <x:v>11200</x:v>
      </x:c>
      <x:c r="J16" s="27" t="n">
        <x:f>E16*Ipoteze!$C$20</x:f>
        <x:v>24000</x:v>
      </x:c>
      <x:c r="K16" s="27" t="n">
        <x:f>SUM(G16:J16)</x:f>
        <x:v>74800</x:v>
      </x:c>
      <x:c r="L16" s="27" t="n">
        <x:f>G16*Ipoteze!$C$11+H16*Ipoteze!$C$17+I16*Ipoteze!$C$18+J16*Ipoteze!$C$21</x:f>
        <x:v>21356</x:v>
      </x:c>
      <x:c r="M16" s="27" t="n">
        <x:f>K16-L16</x:f>
        <x:v>53444</x:v>
      </x:c>
      <x:c r="N16" s="27" t="n">
        <x:f>Ipoteze!$C$32</x:f>
        <x:v>35100</x:v>
      </x:c>
      <x:c r="O16" s="27" t="n">
        <x:f>M16-N16</x:f>
        <x:v>18344</x:v>
      </x:c>
      <x:c r="P16" s="27" t="n">
        <x:f>SUM($O$5:O16)</x:f>
        <x:v>30969</x:v>
      </x:c>
      <x:c r="Q16" s="27" t="n">
        <x:f>Ipoteze!$C$6+P16</x:f>
        <x:v>80969</x:v>
      </x:c>
      <x:c r="R16" s="28" t="n">
        <x:f>B16*Ipoteze!$C$10+C16*Ipoteze!$C$12+F16*Ipoteze!$C$19+E16*Ipoteze!$C$22</x:f>
        <x:v>36</x:v>
      </x:c>
      <x:c r="S16" s="28" t="n">
        <x:f>Ipoteze!$C$7*Ipoteze!$C$8*Ipoteze!$C$33</x:f>
        <x:v>37.4</x:v>
      </x:c>
      <x:c r="T16" s="29" t="n">
        <x:f>R16/(Ipoteze!$C$7*Ipoteze!$C$8)</x:f>
        <x:v>0.8181818181818182</x:v>
      </x:c>
      <x:c r="U16" s="17" t="str">
        <x:f>IF(R16&lt;=S16,"PASS","OVER")</x:f>
        <x:v>PASS</x:v>
      </x:c>
    </x:row>
  </x:sheetData>
  <x:mergeCells>
    <x:mergeCell ref="A1:U1"/>
    <x:mergeCell ref="A2:U2"/>
  </x:mergeCells>
  <x:conditionalFormatting sqref="O5:O16">
    <x:cfRule type="cellIs" dxfId="0" priority="1" operator="lessThan">
      <x:formula>0</x:formula>
    </x:cfRule>
    <x:cfRule type="cellIs" dxfId="1" priority="2" operator="greaterThanOrEqual">
      <x:formula>0</x:formula>
    </x:cfRule>
  </x:conditionalFormatting>
  <x:conditionalFormatting sqref="U5:U16">
    <x:cfRule type="containsText" dxfId="2" priority="3" operator="containsText" text="PASS"/>
    <x:cfRule type="containsText" dxfId="3" priority="4" operator="containsText" text="OVER"/>
    <x:cfRule type="containsText" dxfId="4" priority="5" operator="containsText" text="ATENȚI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9" hidden="0" customWidth="1"/>
    <x:col min="4" max="4" width="12" hidden="0" customWidth="1"/>
    <x:col min="5" max="5" width="12" hidden="0" customWidth="1"/>
    <x:col min="6" max="6" width="38" hidden="0" customWidth="1"/>
    <x:col min="7" max="7" width="16" hidden="0" customWidth="1"/>
    <x:col min="8" max="8" width="30" hidden="0" customWidth="1"/>
  </x:cols>
  <x:sheetData>
    <x:row r="1" ht="32" customHeight="1">
      <x:c r="A1" s="3" t="str">
        <x:v>NOVA DETAILING · FUNNEL DE VÂNZĂRI B2B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Ținte owner-led pentru primul client: 80–120 atingeri, 5 discovery, 3 piloți ofertați, 1–2 executați.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3" t="str">
        <x:v>Etapă</x:v>
      </x:c>
      <x:c r="B4" s="13" t="str">
        <x:v>Țintă / lună</x:v>
      </x:c>
      <x:c r="C4" s="13" t="str">
        <x:v>Conversie din etapa anterioară</x:v>
      </x:c>
      <x:c r="D4" s="13" t="str">
        <x:v>Actual</x:v>
      </x:c>
      <x:c r="E4" s="13" t="str">
        <x:v>Gap</x:v>
      </x:c>
      <x:c r="F4" s="13" t="str">
        <x:v>Definiție</x:v>
      </x:c>
      <x:c r="G4" s="13" t="str">
        <x:v>Owner</x:v>
      </x:c>
      <x:c r="H4" s="13" t="str">
        <x:v>Acțiune următoare</x:v>
      </x:c>
    </x:row>
    <x:row r="5">
      <x:c r="A5" s="17" t="str">
        <x:v>Conturi țintă</x:v>
      </x:c>
      <x:c r="B5" s="63" t="n">
        <x:v>40</x:v>
      </x:c>
      <x:c r="C5" s="64" t="n">
        <x:v>1</x:v>
      </x:c>
      <x:c r="D5" s="63"/>
      <x:c r="E5" s="65" t="str">
        <x:f>IF(D5="","",D5-B5)</x:f>
      </x:c>
      <x:c r="F5" s="17" t="str">
        <x:v>Companii cu canal public și rol-țintă</x:v>
      </x:c>
      <x:c r="G5" s="17" t="str">
        <x:v>Fondator</x:v>
      </x:c>
      <x:c r="H5" s="17" t="str">
        <x:v>Adaugă 10/săptămână</x:v>
      </x:c>
    </x:row>
    <x:row r="6">
      <x:c r="A6" s="17" t="str">
        <x:v>Contacte valide</x:v>
      </x:c>
      <x:c r="B6" s="63" t="n">
        <x:v>80</x:v>
      </x:c>
      <x:c r="C6" s="64" t="n">
        <x:v>2</x:v>
      </x:c>
      <x:c r="D6" s="63"/>
      <x:c r="E6" s="65" t="str">
        <x:f>IF(D6="","",D6-B6)</x:f>
      </x:c>
      <x:c r="F6" s="17" t="str">
        <x:v>Minimum 2 roluri/canale per cont</x:v>
      </x:c>
      <x:c r="G6" s="17" t="str">
        <x:v>Fondator</x:v>
      </x:c>
      <x:c r="H6" s="17" t="str">
        <x:v>Verifică înainte de trimitere</x:v>
      </x:c>
    </x:row>
    <x:row r="7">
      <x:c r="A7" s="17" t="str">
        <x:v>Atingeri</x:v>
      </x:c>
      <x:c r="B7" s="63" t="n">
        <x:v>120</x:v>
      </x:c>
      <x:c r="C7" s="64" t="n">
        <x:v>1.5</x:v>
      </x:c>
      <x:c r="D7" s="63"/>
      <x:c r="E7" s="65" t="str">
        <x:f>IF(D7="","",D7-B7)</x:f>
      </x:c>
      <x:c r="F7" s="17" t="str">
        <x:v>Email + apel + follow-up</x:v>
      </x:c>
      <x:c r="G7" s="17" t="str">
        <x:v>Fondator</x:v>
      </x:c>
      <x:c r="H7" s="17" t="str">
        <x:v>30/săptămână</x:v>
      </x:c>
    </x:row>
    <x:row r="8">
      <x:c r="A8" s="17" t="str">
        <x:v>Răspunsuri</x:v>
      </x:c>
      <x:c r="B8" s="63" t="n">
        <x:v>12</x:v>
      </x:c>
      <x:c r="C8" s="64" t="n">
        <x:v>0.1</x:v>
      </x:c>
      <x:c r="D8" s="63"/>
      <x:c r="E8" s="65" t="str">
        <x:f>IF(D8="","",D8-B8)</x:f>
      </x:c>
      <x:c r="F8" s="17" t="str">
        <x:v>Orice răspuns uman relevant</x:v>
      </x:c>
      <x:c r="G8" s="17" t="str">
        <x:v>Fondator</x:v>
      </x:c>
      <x:c r="H8" s="17" t="str">
        <x:v>Optimizează dacă &lt;5%</x:v>
      </x:c>
    </x:row>
    <x:row r="9">
      <x:c r="A9" s="17" t="str">
        <x:v>Discovery</x:v>
      </x:c>
      <x:c r="B9" s="63" t="n">
        <x:v>5</x:v>
      </x:c>
      <x:c r="C9" s="64" t="n">
        <x:v>0.42</x:v>
      </x:c>
      <x:c r="D9" s="63"/>
      <x:c r="E9" s="65" t="str">
        <x:f>IF(D9="","",D9-B9)</x:f>
      </x:c>
      <x:c r="F9" s="17" t="str">
        <x:v>Flotă, retur, lessor, decident, termen</x:v>
      </x:c>
      <x:c r="G9" s="17" t="str">
        <x:v>Fondator</x:v>
      </x:c>
      <x:c r="H9" s="17" t="str">
        <x:v>15–20 minute</x:v>
      </x:c>
    </x:row>
    <x:row r="10">
      <x:c r="A10" s="17" t="str">
        <x:v>Piloți ofertați</x:v>
      </x:c>
      <x:c r="B10" s="63" t="n">
        <x:v>3</x:v>
      </x:c>
      <x:c r="C10" s="64" t="n">
        <x:v>0.6</x:v>
      </x:c>
      <x:c r="D10" s="63"/>
      <x:c r="E10" s="65" t="str">
        <x:f>IF(D10="","",D10-B10)</x:f>
      </x:c>
      <x:c r="F10" s="17" t="str">
        <x:v>Ofertă scrisă cu dată</x:v>
      </x:c>
      <x:c r="G10" s="17" t="str">
        <x:v>Fondator</x:v>
      </x:c>
      <x:c r="H10" s="17" t="str">
        <x:v>Trimite în 2 ore</x:v>
      </x:c>
    </x:row>
    <x:row r="11">
      <x:c r="A11" s="17" t="str">
        <x:v>Piloți executați</x:v>
      </x:c>
      <x:c r="B11" s="63" t="n">
        <x:v>2</x:v>
      </x:c>
      <x:c r="C11" s="64" t="n">
        <x:v>0.67</x:v>
      </x:c>
      <x:c r="D11" s="63"/>
      <x:c r="E11" s="65" t="str">
        <x:f>IF(D11="","",D11-B11)</x:f>
      </x:c>
      <x:c r="F11" s="17" t="str">
        <x:v>Pilot plătit și raport livrat</x:v>
      </x:c>
      <x:c r="G11" s="17" t="str">
        <x:v>Atelier</x:v>
      </x:c>
      <x:c r="H11" s="17" t="str">
        <x:v>SLA 24–48h</x:v>
      </x:c>
    </x:row>
    <x:row r="12">
      <x:c r="A12" s="17" t="str">
        <x:v>Contracte cadru</x:v>
      </x:c>
      <x:c r="B12" s="63" t="n">
        <x:v>1</x:v>
      </x:c>
      <x:c r="C12" s="64" t="n">
        <x:v>0.5</x:v>
      </x:c>
      <x:c r="D12" s="63"/>
      <x:c r="E12" s="65" t="str">
        <x:f>IF(D12="","",D12-B12)</x:f>
      </x:c>
      <x:c r="F12" s="17" t="str">
        <x:v>Acord semnat + fereastră de lucru</x:v>
      </x:c>
      <x:c r="G12" s="17" t="str">
        <x:v>Fondator</x:v>
      </x:c>
      <x:c r="H12" s="17" t="str">
        <x:v>Follow-up decizie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6" hidden="0" customWidth="1"/>
    <x:col min="3" max="3" width="23" hidden="0" customWidth="1"/>
    <x:col min="4" max="4" width="10" hidden="0" customWidth="1"/>
    <x:col min="5" max="5" width="8" hidden="0" customWidth="1"/>
    <x:col min="6" max="6" width="23" hidden="0" customWidth="1"/>
    <x:col min="7" max="7" width="50" hidden="0" customWidth="1"/>
    <x:col min="8" max="8" width="32" hidden="0" customWidth="1"/>
    <x:col min="9" max="9" width="36" hidden="0" customWidth="1"/>
    <x:col min="10" max="10" width="48" hidden="0" customWidth="1"/>
    <x:col min="11" max="11" width="48" hidden="0" customWidth="1"/>
    <x:col min="12" max="12" width="34" hidden="0" customWidth="1"/>
    <x:col min="13" max="13" width="14" hidden="0" customWidth="1"/>
  </x:cols>
  <x:sheetData>
    <x:row r="1" ht="32" customHeight="1">
      <x:c r="A1" s="3" t="str">
        <x:v>NOVA DETAILING · 30 PROSPECȚI B2B CALIFICAȚI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Canale publice verificate la 31 iulie 2026. Existența flotei și datele de retur sunt ipoteze de calificat, nu fapte publice.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0" customHeight="1">
      <x:c r="A4" s="13" t="str">
        <x:v>Rang</x:v>
      </x:c>
      <x:c r="B4" s="13" t="str">
        <x:v>Companie</x:v>
      </x:c>
      <x:c r="C4" s="13" t="str">
        <x:v>Segment</x:v>
      </x:c>
      <x:c r="D4" s="13" t="str">
        <x:v>Prioritate</x:v>
      </x:c>
      <x:c r="E4" s="13" t="str">
        <x:v>Scor</x:v>
      </x:c>
      <x:c r="F4" s="13" t="str">
        <x:v>Locație</x:v>
      </x:c>
      <x:c r="G4" s="13" t="str">
        <x:v>Motiv de potrivire</x:v>
      </x:c>
      <x:c r="H4" s="13" t="str">
        <x:v>Rol-țintă</x:v>
      </x:c>
      <x:c r="I4" s="13" t="str">
        <x:v>Canal public</x:v>
      </x:c>
      <x:c r="J4" s="13" t="str">
        <x:v>Sursă oficială</x:v>
      </x:c>
      <x:c r="K4" s="13" t="str">
        <x:v>Întrebare de calificare</x:v>
      </x:c>
      <x:c r="L4" s="13" t="str">
        <x:v>Primul pas</x:v>
      </x:c>
      <x:c r="M4" s="13" t="str">
        <x:v>Status</x:v>
      </x:c>
    </x:row>
    <x:row r="5">
      <x:c r="A5" s="17" t="n">
        <x:v>1</x:v>
      </x:c>
      <x:c r="B5" s="17" t="str">
        <x:v>Speedwell</x:v>
      </x:c>
      <x:c r="C5" s="17" t="str">
        <x:v>Dezvoltare imobiliară</x:v>
      </x:c>
      <x:c r="D5" s="66" t="str">
        <x:v>A</x:v>
      </x:c>
      <x:c r="E5" s="67" t="n">
        <x:v>9.2</x:v>
      </x:c>
      <x:c r="F5" s="17" t="str">
        <x:v>București, Sector 1</x:v>
      </x:c>
      <x:c r="G5" s="17" t="str">
        <x:v>Echipă locală și proiecte multiple; probabil mobilitate frecventă între birou și șantiere.</x:v>
      </x:c>
      <x:c r="H5" s="17" t="str">
        <x:v>COO / Office Manager / Procurement</x:v>
      </x:c>
      <x:c r="I5" s="17" t="str">
        <x:v>office@speedwell.be · +40 753 130 352</x:v>
      </x:c>
      <x:c r="J5" s="17" t="str">
        <x:v>https://www.speedwell.be/were-here/</x:v>
      </x:c>
      <x:c r="K5" s="17" t="str">
        <x:v>Există 5–30 autoturisme și 2–5 retururi în următoarele 90 zile?</x:v>
      </x:c>
      <x:c r="L5" s="17" t="str">
        <x:v>Trimite email scurt + apel la 24h</x:v>
      </x:c>
      <x:c r="M5" s="18" t="str">
        <x:v>Necontactat</x:v>
      </x:c>
    </x:row>
    <x:row r="6">
      <x:c r="A6" s="17" t="n">
        <x:v>2</x:v>
      </x:c>
      <x:c r="B6" s="17" t="str">
        <x:v>HILS Development</x:v>
      </x:c>
      <x:c r="C6" s="17" t="str">
        <x:v>Dezvoltare imobiliară</x:v>
      </x:c>
      <x:c r="D6" s="66" t="str">
        <x:v>A</x:v>
      </x:c>
      <x:c r="E6" s="67" t="n">
        <x:v>9</x:v>
      </x:c>
      <x:c r="F6" s="17" t="str">
        <x:v>București, Sector 3</x:v>
      </x:c>
      <x:c r="G6" s="17" t="str">
        <x:v>Portofoliu local mare și echipe de vânzări/șantier; accesibilitate bună pentru pilot.</x:v>
      </x:c>
      <x:c r="H6" s="17" t="str">
        <x:v>Director operațional / Administrativ / Achiziții</x:v>
      </x:c>
      <x:c r="I6" s="17" t="str">
        <x:v>vanzari@hils.ro · +40 310 050 806</x:v>
      </x:c>
      <x:c r="J6" s="17" t="str">
        <x:v>https://hils.ro/</x:v>
      </x:c>
      <x:c r="K6" s="17" t="str">
        <x:v>Cine gestionează mașinile de management și datele de retur?</x:v>
      </x:c>
      <x:c r="L6" s="17" t="str">
        <x:v>Cere redirecționare către administrativ</x:v>
      </x:c>
      <x:c r="M6" s="18" t="str">
        <x:v>Necontactat</x:v>
      </x:c>
    </x:row>
    <x:row r="7">
      <x:c r="A7" s="17" t="n">
        <x:v>3</x:v>
      </x:c>
      <x:c r="B7" s="17" t="str">
        <x:v>REDPORT</x:v>
      </x:c>
      <x:c r="C7" s="17" t="str">
        <x:v>Dezvoltare imobiliară</x:v>
      </x:c>
      <x:c r="D7" s="66" t="str">
        <x:v>A</x:v>
      </x:c>
      <x:c r="E7" s="67" t="n">
        <x:v>8.9</x:v>
      </x:c>
      <x:c r="F7" s="17" t="str">
        <x:v>București, Sector 1</x:v>
      </x:c>
      <x:c r="G7" s="17" t="str">
        <x:v>Dezvoltator antreprenorial local; ciclu de decizie probabil mai scurt decât la corporații.</x:v>
      </x:c>
      <x:c r="H7" s="17" t="str">
        <x:v>COO / Office Manager / Procurement</x:v>
      </x:c>
      <x:c r="I7" s="17" t="str">
        <x:v>office@redport.ro · +40 310 052 150</x:v>
      </x:c>
      <x:c r="J7" s="17" t="str">
        <x:v>https://redport.ro/ro/contact/</x:v>
      </x:c>
      <x:c r="K7" s="17" t="str">
        <x:v>Ce vehicule ies din leasing în următoarele 3–6 luni?</x:v>
      </x:c>
      <x:c r="L7" s="17" t="str">
        <x:v>Email cu pilot 3 mașini</x:v>
      </x:c>
      <x:c r="M7" s="18" t="str">
        <x:v>Necontactat</x:v>
      </x:c>
    </x:row>
    <x:row r="8">
      <x:c r="A8" s="17" t="n">
        <x:v>4</x:v>
      </x:c>
      <x:c r="B8" s="17" t="str">
        <x:v>Nusco Imobiliara</x:v>
      </x:c>
      <x:c r="C8" s="17" t="str">
        <x:v>Dezvoltare imobiliară</x:v>
      </x:c>
      <x:c r="D8" s="66" t="str">
        <x:v>A</x:v>
      </x:c>
      <x:c r="E8" s="67" t="n">
        <x:v>8.8</x:v>
      </x:c>
      <x:c r="F8" s="17" t="str">
        <x:v>București, Sector 2</x:v>
      </x:c>
      <x:c r="G8" s="17" t="str">
        <x:v>Mai multe proiecte și deplasări de management/vânzări în București–Ilfov.</x:v>
      </x:c>
      <x:c r="H8" s="17" t="str">
        <x:v>Administrativ / Procurement / CFO</x:v>
      </x:c>
      <x:c r="I8" s="17" t="str">
        <x:v>info@nusco.ro · +40 311 309 748</x:v>
      </x:c>
      <x:c r="J8" s="17" t="str">
        <x:v>https://nusco.ro/temp/contact-us/</x:v>
      </x:c>
      <x:c r="K8" s="17" t="str">
        <x:v>Au ghiduri de retur diferite pe lessor sau un singur furnizor?</x:v>
      </x:c>
      <x:c r="L8" s="17" t="str">
        <x:v>Email + apel de calificare</x:v>
      </x:c>
      <x:c r="M8" s="18" t="str">
        <x:v>Necontactat</x:v>
      </x:c>
    </x:row>
    <x:row r="9">
      <x:c r="A9" s="17" t="n">
        <x:v>5</x:v>
      </x:c>
      <x:c r="B9" s="17" t="str">
        <x:v>IMPACT Developer &amp; Contractor</x:v>
      </x:c>
      <x:c r="C9" s="17" t="str">
        <x:v>Dezvoltare imobiliară</x:v>
      </x:c>
      <x:c r="D9" s="66" t="str">
        <x:v>A</x:v>
      </x:c>
      <x:c r="E9" s="67" t="n">
        <x:v>8.7</x:v>
      </x:c>
      <x:c r="F9" s="17" t="str">
        <x:v>București, Sector 1</x:v>
      </x:c>
      <x:c r="G9" s="17" t="str">
        <x:v>Dezvoltator listat cu proiecte locale; probabil procese administrative și vehicule de companie.</x:v>
      </x:c>
      <x:c r="H9" s="17" t="str">
        <x:v>Procurement / Administrativ / Fleet</x:v>
      </x:c>
      <x:c r="I9" s="17" t="str">
        <x:v>office@impactsa.ro · +40 21 230 7570</x:v>
      </x:c>
      <x:c r="J9" s="17" t="str">
        <x:v>https://impactsa.ro/contact</x:v>
      </x:c>
      <x:c r="K9" s="17" t="str">
        <x:v>Câte mașini sunt alocate managementului și echipelor de proiect?</x:v>
      </x:c>
      <x:c r="L9" s="17" t="str">
        <x:v>Telefon pentru identificarea responsabilului</x:v>
      </x:c>
      <x:c r="M9" s="18" t="str">
        <x:v>Necontactat</x:v>
      </x:c>
    </x:row>
    <x:row r="10">
      <x:c r="A10" s="17" t="n">
        <x:v>6</x:v>
      </x:c>
      <x:c r="B10" s="17" t="str">
        <x:v>Genesis Property</x:v>
      </x:c>
      <x:c r="C10" s="17" t="str">
        <x:v>Property management</x:v>
      </x:c>
      <x:c r="D10" s="66" t="str">
        <x:v>A</x:v>
      </x:c>
      <x:c r="E10" s="67" t="n">
        <x:v>8.6</x:v>
      </x:c>
      <x:c r="F10" s="17" t="str">
        <x:v>București, Sector 6</x:v>
      </x:c>
      <x:c r="G10" s="17" t="str">
        <x:v>Administrează campusuri de birouri; operațiuni și deplasări locale recurente.</x:v>
      </x:c>
      <x:c r="H10" s="17" t="str">
        <x:v>COO / Facility / Procurement</x:v>
      </x:c>
      <x:c r="I10" s="17" t="str">
        <x:v>office@genesisproperty.net · +40 21 539 0107</x:v>
      </x:c>
      <x:c r="J10" s="17" t="str">
        <x:v>https://www.genesisproperty.net/en/contact/leasing/</x:v>
      </x:c>
      <x:c r="K10" s="17" t="str">
        <x:v>Există ferestre trimestriale de retur sau înlocuire a mașinilor?</x:v>
      </x:c>
      <x:c r="L10" s="17" t="str">
        <x:v>Email către office, solicitare administrativ</x:v>
      </x:c>
      <x:c r="M10" s="18" t="str">
        <x:v>Necontactat</x:v>
      </x:c>
    </x:row>
    <x:row r="11">
      <x:c r="A11" s="17" t="n">
        <x:v>7</x:v>
      </x:c>
      <x:c r="B11" s="17" t="str">
        <x:v>Graphein</x:v>
      </x:c>
      <x:c r="C11" s="17" t="str">
        <x:v>Inginerie / BIM / topografie</x:v>
      </x:c>
      <x:c r="D11" s="66" t="str">
        <x:v>A</x:v>
      </x:c>
      <x:c r="E11" s="67" t="n">
        <x:v>8.5</x:v>
      </x:c>
      <x:c r="F11" s="17" t="str">
        <x:v>București, Sector 1</x:v>
      </x:c>
      <x:c r="G11" s="17" t="str">
        <x:v>Echipă de proiect cu deplasări; profil antreprenorial și accesibil pentru un pilot.</x:v>
      </x:c>
      <x:c r="H11" s="17" t="str">
        <x:v>COO / Operations / Office Manager</x:v>
      </x:c>
      <x:c r="I11" s="17" t="str">
        <x:v>office@graphein.ro · +40 742 799 626</x:v>
      </x:c>
      <x:c r="J11" s="17" t="str">
        <x:v>https://graphein.ro/en/contact/</x:v>
      </x:c>
      <x:c r="K11" s="17" t="str">
        <x:v>Câte mașini sunt folosite pentru vizite pe teren și când se returnează?</x:v>
      </x:c>
      <x:c r="L11" s="17" t="str">
        <x:v>Email personalizat pe operațiuni de teren</x:v>
      </x:c>
      <x:c r="M11" s="18" t="str">
        <x:v>Necontactat</x:v>
      </x:c>
    </x:row>
    <x:row r="12">
      <x:c r="A12" s="17" t="n">
        <x:v>8</x:v>
      </x:c>
      <x:c r="B12" s="17" t="str">
        <x:v>Leviatan Design</x:v>
      </x:c>
      <x:c r="C12" s="17" t="str">
        <x:v>Inginerie / construcții</x:v>
      </x:c>
      <x:c r="D12" s="66" t="str">
        <x:v>A</x:v>
      </x:c>
      <x:c r="E12" s="67" t="n">
        <x:v>8.4</x:v>
      </x:c>
      <x:c r="F12" s="17" t="str">
        <x:v>București, Sector 3</x:v>
      </x:c>
      <x:c r="G12" s="17" t="str">
        <x:v>Companie de proiectare cu echipe de teren și sediu local; potrivire bună pentru pre-retur.</x:v>
      </x:c>
      <x:c r="H12" s="17" t="str">
        <x:v>Procurement / Operations / Fleet</x:v>
      </x:c>
      <x:c r="I12" s="17" t="str">
        <x:v>formular +40 21 320 0138</x:v>
      </x:c>
      <x:c r="J12" s="17" t="str">
        <x:v>https://leviatan.ro/en/home/</x:v>
      </x:c>
      <x:c r="K12" s="17" t="str">
        <x:v>Care este lessorul și cine aprobă recondiționarea înainte de retur?</x:v>
      </x:c>
      <x:c r="L12" s="17" t="str">
        <x:v>Apel și cerere Procurement</x:v>
      </x:c>
      <x:c r="M12" s="18" t="str">
        <x:v>Necontactat</x:v>
      </x:c>
    </x:row>
    <x:row r="13">
      <x:c r="A13" s="17" t="n">
        <x:v>9</x:v>
      </x:c>
      <x:c r="B13" s="17" t="str">
        <x:v>Zitec</x:v>
      </x:c>
      <x:c r="C13" s="17" t="str">
        <x:v>Tehnologie</x:v>
      </x:c>
      <x:c r="D13" s="66" t="str">
        <x:v>A</x:v>
      </x:c>
      <x:c r="E13" s="67" t="n">
        <x:v>8.2</x:v>
      </x:c>
      <x:c r="F13" s="17" t="str">
        <x:v>București, Sector 3</x:v>
      </x:c>
      <x:c r="G13" s="17" t="str">
        <x:v>Companie antreprenorială matură, sediu local și decizie administrativă accesibilă.</x:v>
      </x:c>
      <x:c r="H13" s="17" t="str">
        <x:v>Office Manager / Finance / Operations</x:v>
      </x:c>
      <x:c r="I13" s="17" t="str">
        <x:v>contact@zitec.com · +40 31 710 0114</x:v>
      </x:c>
      <x:c r="J13" s="17" t="str">
        <x:v>https://zitec.com/contact/</x:v>
      </x:c>
      <x:c r="K13" s="17" t="str">
        <x:v>Există mașini de management sau benefit auto în leasing operațional?</x:v>
      </x:c>
      <x:c r="L13" s="17" t="str">
        <x:v>Email către contact cu cerere Office Manager</x:v>
      </x:c>
      <x:c r="M13" s="18" t="str">
        <x:v>Necontactat</x:v>
      </x:c>
    </x:row>
    <x:row r="14">
      <x:c r="A14" s="17" t="n">
        <x:v>10</x:v>
      </x:c>
      <x:c r="B14" s="17" t="str">
        <x:v>mindit.io</x:v>
      </x:c>
      <x:c r="C14" s="17" t="str">
        <x:v>Tehnologie</x:v>
      </x:c>
      <x:c r="D14" s="66" t="str">
        <x:v>A</x:v>
      </x:c>
      <x:c r="E14" s="67" t="n">
        <x:v>8.1</x:v>
      </x:c>
      <x:c r="F14" s="17" t="str">
        <x:v>București, Sector 2</x:v>
      </x:c>
      <x:c r="G14" s="17" t="str">
        <x:v>Companie românească, echipă de management locală și cultură de proiect-pilot.</x:v>
      </x:c>
      <x:c r="H14" s="17" t="str">
        <x:v>Office Manager / COO / Finance</x:v>
      </x:c>
      <x:c r="I14" s="17" t="str">
        <x:v>contact@mindit.io</x:v>
      </x:c>
      <x:c r="J14" s="17" t="str">
        <x:v>https://mindit.io/contact-us/</x:v>
      </x:c>
      <x:c r="K14" s="17" t="str">
        <x:v>Cine gestionează contractele auto și ce retururi sunt planificate?</x:v>
      </x:c>
      <x:c r="L14" s="17" t="str">
        <x:v>Mesaj scurt, pilot și întrebare de calificare</x:v>
      </x:c>
      <x:c r="M14" s="18" t="str">
        <x:v>Necontactat</x:v>
      </x:c>
    </x:row>
    <x:row r="15">
      <x:c r="A15" s="17" t="n">
        <x:v>11</x:v>
      </x:c>
      <x:c r="B15" s="17" t="str">
        <x:v>One United Properties</x:v>
      </x:c>
      <x:c r="C15" s="17" t="str">
        <x:v>Dezvoltare imobiliară</x:v>
      </x:c>
      <x:c r="D15" s="66" t="str">
        <x:v>B</x:v>
      </x:c>
      <x:c r="E15" s="67" t="n">
        <x:v>8</x:v>
      </x:c>
      <x:c r="F15" s="17" t="str">
        <x:v>București, Sector 1</x:v>
      </x:c>
      <x:c r="G15" s="17" t="str">
        <x:v>Portofoliu foarte mare și multe deplasări; valoare potențială mare, dar procurement mai lent.</x:v>
      </x:c>
      <x:c r="H15" s="17" t="str">
        <x:v>Procurement / Administrativ / Fleet</x:v>
      </x:c>
      <x:c r="I15" s="17" t="str">
        <x:v>office@one.ro · +40 31 225 1000</x:v>
      </x:c>
      <x:c r="J15" s="17" t="str">
        <x:v>https://www.one.ro/ro/contact/</x:v>
      </x:c>
      <x:c r="K15" s="17" t="str">
        <x:v>Există o flotă locală sub 30 de autoturisme într-o divizie ce poate pilota?</x:v>
      </x:c>
      <x:c r="L15" s="17" t="str">
        <x:v>Cere pilot într-o singură entitate/divizie</x:v>
      </x:c>
      <x:c r="M15" s="18" t="str">
        <x:v>Necontactat</x:v>
      </x:c>
    </x:row>
    <x:row r="16">
      <x:c r="A16" s="17" t="n">
        <x:v>12</x:v>
      </x:c>
      <x:c r="B16" s="17" t="str">
        <x:v>Forte Partners</x:v>
      </x:c>
      <x:c r="C16" s="17" t="str">
        <x:v>Dezvoltare imobiliară</x:v>
      </x:c>
      <x:c r="D16" s="66" t="str">
        <x:v>B</x:v>
      </x:c>
      <x:c r="E16" s="67" t="n">
        <x:v>7.9</x:v>
      </x:c>
      <x:c r="F16" s="17" t="str">
        <x:v>București</x:v>
      </x:c>
      <x:c r="G16" s="17" t="str">
        <x:v>Dezvoltator de birouri cu echipă locală și activitate de proiect.</x:v>
      </x:c>
      <x:c r="H16" s="17" t="str">
        <x:v>COO / Office Manager / Procurement</x:v>
      </x:c>
      <x:c r="I16" s="17" t="str">
        <x:v>formular oficial</x:v>
      </x:c>
      <x:c r="J16" s="17" t="str">
        <x:v>https://www.forte-partners.ro/</x:v>
      </x:c>
      <x:c r="K16" s="17" t="str">
        <x:v>Cine răspunde de mașinile de management și de retururile de leasing?</x:v>
      </x:c>
      <x:c r="L16" s="17" t="str">
        <x:v>Contact prin formular + LinkedIn rol companie</x:v>
      </x:c>
      <x:c r="M16" s="18" t="str">
        <x:v>Necontactat</x:v>
      </x:c>
    </x:row>
    <x:row r="17">
      <x:c r="A17" s="17" t="n">
        <x:v>13</x:v>
      </x:c>
      <x:c r="B17" s="17" t="str">
        <x:v>Cordia România</x:v>
      </x:c>
      <x:c r="C17" s="17" t="str">
        <x:v>Dezvoltare imobiliară</x:v>
      </x:c>
      <x:c r="D17" s="66" t="str">
        <x:v>B</x:v>
      </x:c>
      <x:c r="E17" s="67" t="n">
        <x:v>7.8</x:v>
      </x:c>
      <x:c r="F17" s="17" t="str">
        <x:v>București, Sector 1</x:v>
      </x:c>
      <x:c r="G17" s="17" t="str">
        <x:v>Dezvoltator local, proiecte rezidențiale și echipă de management în București.</x:v>
      </x:c>
      <x:c r="H17" s="17" t="str">
        <x:v>Administrativ / Operations / CFO</x:v>
      </x:c>
      <x:c r="I17" s="17" t="str">
        <x:v>+40 759 890 890 · formular</x:v>
      </x:c>
      <x:c r="J17" s="17" t="str">
        <x:v>https://cordia.ro/contact/</x:v>
      </x:c>
      <x:c r="K17" s="17" t="str">
        <x:v>Câte mașini sunt în leasing și când este următoarea fereastră de retur?</x:v>
      </x:c>
      <x:c r="L17" s="17" t="str">
        <x:v>Apel pentru responsabil administrativ</x:v>
      </x:c>
      <x:c r="M17" s="18" t="str">
        <x:v>Necontactat</x:v>
      </x:c>
    </x:row>
    <x:row r="18">
      <x:c r="A18" s="17" t="n">
        <x:v>14</x:v>
      </x:c>
      <x:c r="B18" s="17" t="str">
        <x:v>Hagag Development Europe</x:v>
      </x:c>
      <x:c r="C18" s="17" t="str">
        <x:v>Dezvoltare imobiliară</x:v>
      </x:c>
      <x:c r="D18" s="66" t="str">
        <x:v>B</x:v>
      </x:c>
      <x:c r="E18" s="67" t="n">
        <x:v>7.7</x:v>
      </x:c>
      <x:c r="F18" s="17" t="str">
        <x:v>București</x:v>
      </x:c>
      <x:c r="G18" s="17" t="str">
        <x:v>Portofoliu local premium; aliniere bună cu poziționarea Nova.</x:v>
      </x:c>
      <x:c r="H18" s="17" t="str">
        <x:v>Office Manager / Procurement / COO</x:v>
      </x:c>
      <x:c r="I18" s="17" t="str">
        <x:v>formular oficial</x:v>
      </x:c>
      <x:c r="J18" s="17" t="str">
        <x:v>https://hagag-development-europe.com/</x:v>
      </x:c>
      <x:c r="K18" s="17" t="str">
        <x:v>Există vehicule premium ce ies din leasing în 90–180 zile?</x:v>
      </x:c>
      <x:c r="L18" s="17" t="str">
        <x:v>Contact general + cerere administrativ</x:v>
      </x:c>
      <x:c r="M18" s="18" t="str">
        <x:v>Necontactat</x:v>
      </x:c>
    </x:row>
    <x:row r="19">
      <x:c r="A19" s="17" t="n">
        <x:v>15</x:v>
      </x:c>
      <x:c r="B19" s="17" t="str">
        <x:v>Softbinator Technologies</x:v>
      </x:c>
      <x:c r="C19" s="17" t="str">
        <x:v>Tehnologie</x:v>
      </x:c>
      <x:c r="D19" s="66" t="str">
        <x:v>B</x:v>
      </x:c>
      <x:c r="E19" s="67" t="n">
        <x:v>7.6</x:v>
      </x:c>
      <x:c r="F19" s="17" t="str">
        <x:v>București, Sector 5</x:v>
      </x:c>
      <x:c r="G19" s="17" t="str">
        <x:v>Companie listată, management local și sediu accesibil.</x:v>
      </x:c>
      <x:c r="H19" s="17" t="str">
        <x:v>Office Manager / Operations / CFO</x:v>
      </x:c>
      <x:c r="I19" s="17" t="str">
        <x:v>contact@softbinator.com · +40 757 404 781</x:v>
      </x:c>
      <x:c r="J19" s="17" t="str">
        <x:v>https://softbinator.com/contact/</x:v>
      </x:c>
      <x:c r="K19" s="17" t="str">
        <x:v>Există flotă/benefit auto pentru management și un calendar de retur?</x:v>
      </x:c>
      <x:c r="L19" s="17" t="str">
        <x:v>Email personalizat</x:v>
      </x:c>
      <x:c r="M19" s="18" t="str">
        <x:v>Necontactat</x:v>
      </x:c>
    </x:row>
    <x:row r="20">
      <x:c r="A20" s="17" t="n">
        <x:v>16</x:v>
      </x:c>
      <x:c r="B20" s="17" t="str">
        <x:v>Connections Consult</x:v>
      </x:c>
      <x:c r="C20" s="17" t="str">
        <x:v>Tehnologie</x:v>
      </x:c>
      <x:c r="D20" s="66" t="str">
        <x:v>B</x:v>
      </x:c>
      <x:c r="E20" s="67" t="n">
        <x:v>7.5</x:v>
      </x:c>
      <x:c r="F20" s="17" t="str">
        <x:v>București, Sector 1</x:v>
      </x:c>
      <x:c r="G20" s="17" t="str">
        <x:v>Grup tehnologic românesc cu operațiuni locale și mai multe centre.</x:v>
      </x:c>
      <x:c r="H20" s="17" t="str">
        <x:v>Administrativ / Procurement / Finance</x:v>
      </x:c>
      <x:c r="I20" s="17" t="str">
        <x:v>office@connectionsconsult.ro · +40 372 368 332</x:v>
      </x:c>
      <x:c r="J20" s="17" t="str">
        <x:v>https://connectionsconsult.ro/contact/</x:v>
      </x:c>
      <x:c r="K20" s="17" t="str">
        <x:v>Cine gestionează vehiculele și relația cu lessorul?</x:v>
      </x:c>
      <x:c r="L20" s="17" t="str">
        <x:v>Email + apel în 24h</x:v>
      </x:c>
      <x:c r="M20" s="18" t="str">
        <x:v>Necontactat</x:v>
      </x:c>
    </x:row>
    <x:row r="21">
      <x:c r="A21" s="17" t="n">
        <x:v>17</x:v>
      </x:c>
      <x:c r="B21" s="17" t="str">
        <x:v>Trencadis</x:v>
      </x:c>
      <x:c r="C21" s="17" t="str">
        <x:v>Tehnologie</x:v>
      </x:c>
      <x:c r="D21" s="66" t="str">
        <x:v>B</x:v>
      </x:c>
      <x:c r="E21" s="67" t="n">
        <x:v>7.4</x:v>
      </x:c>
      <x:c r="F21" s="17" t="str">
        <x:v>București, Sector 2</x:v>
      </x:c>
      <x:c r="G21" s="17" t="str">
        <x:v>Companie românească cu birou local; decident operațional identificabil.</x:v>
      </x:c>
      <x:c r="H21" s="17" t="str">
        <x:v>COO / Administrativ / Procurement</x:v>
      </x:c>
      <x:c r="I21" s="17" t="str">
        <x:v>office@trencadis.ro · +40 212 112 111</x:v>
      </x:c>
      <x:c r="J21" s="17" t="str">
        <x:v>https://trencadis.ro/contact-us.html</x:v>
      </x:c>
      <x:c r="K21" s="17" t="str">
        <x:v>Există 2–5 retururi de leasing în următorul trimestru?</x:v>
      </x:c>
      <x:c r="L21" s="17" t="str">
        <x:v>Email scurt și apel</x:v>
      </x:c>
      <x:c r="M21" s="18" t="str">
        <x:v>Necontactat</x:v>
      </x:c>
    </x:row>
    <x:row r="22">
      <x:c r="A22" s="17" t="n">
        <x:v>18</x:v>
      </x:c>
      <x:c r="B22" s="17" t="str">
        <x:v>Bittnet Group</x:v>
      </x:c>
      <x:c r="C22" s="17" t="str">
        <x:v>Tehnologie / training</x:v>
      </x:c>
      <x:c r="D22" s="66" t="str">
        <x:v>B</x:v>
      </x:c>
      <x:c r="E22" s="67" t="n">
        <x:v>7.3</x:v>
      </x:c>
      <x:c r="F22" s="17" t="str">
        <x:v>București, Sector 5</x:v>
      </x:c>
      <x:c r="G22" s="17" t="str">
        <x:v>Grup local, management și mai multe entități în același hub.</x:v>
      </x:c>
      <x:c r="H22" s="17" t="str">
        <x:v>Administrativ / CFO / Procurement</x:v>
      </x:c>
      <x:c r="I22" s="17" t="str">
        <x:v>askformore@bittnet.ro · +40 731 700 226</x:v>
      </x:c>
      <x:c r="J22" s="17" t="str">
        <x:v>https://www.bittnet.ro/despre-noi/contact/</x:v>
      </x:c>
      <x:c r="K22" s="17" t="str">
        <x:v>Se poate pilota pe o singură entitate din grup?</x:v>
      </x:c>
      <x:c r="L22" s="17" t="str">
        <x:v>Cere redirecționare spre administrativ</x:v>
      </x:c>
      <x:c r="M22" s="18" t="str">
        <x:v>Necontactat</x:v>
      </x:c>
    </x:row>
    <x:row r="23">
      <x:c r="A23" s="17" t="n">
        <x:v>19</x:v>
      </x:c>
      <x:c r="B23" s="17" t="str">
        <x:v>NNDKP</x:v>
      </x:c>
      <x:c r="C23" s="17" t="str">
        <x:v>Servicii juridice</x:v>
      </x:c>
      <x:c r="D23" s="66" t="str">
        <x:v>B</x:v>
      </x:c>
      <x:c r="E23" s="67" t="n">
        <x:v>7.1</x:v>
      </x:c>
      <x:c r="F23" s="17" t="str">
        <x:v>București, Sector 2</x:v>
      </x:c>
      <x:c r="G23" s="17" t="str">
        <x:v>Firmă mare de avocatură; probabil vehicule premium de parteneri/management.</x:v>
      </x:c>
      <x:c r="H23" s="17" t="str">
        <x:v>COO / Office Manager / Administrativ</x:v>
      </x:c>
      <x:c r="I23" s="17" t="str">
        <x:v>office@nndkp.ro · +40 21 201 1200</x:v>
      </x:c>
      <x:c r="J23" s="17" t="str">
        <x:v>https://www.nndkp.ro/</x:v>
      </x:c>
      <x:c r="K23" s="17" t="str">
        <x:v>Există mașini de companie/parteneri în leasing ce necesită retur pregătit?</x:v>
      </x:c>
      <x:c r="L23" s="17" t="str">
        <x:v>Email către office; fără outreach personal nesolicitat</x:v>
      </x:c>
      <x:c r="M23" s="18" t="str">
        <x:v>Necontactat</x:v>
      </x:c>
    </x:row>
    <x:row r="24">
      <x:c r="A24" s="17" t="n">
        <x:v>20</x:v>
      </x:c>
      <x:c r="B24" s="17" t="str">
        <x:v>Țuca Zbârcea &amp; Asociații</x:v>
      </x:c>
      <x:c r="C24" s="17" t="str">
        <x:v>Servicii juridice</x:v>
      </x:c>
      <x:c r="D24" s="66" t="str">
        <x:v>B</x:v>
      </x:c>
      <x:c r="E24" s="67" t="n">
        <x:v>7</x:v>
      </x:c>
      <x:c r="F24" s="17" t="str">
        <x:v>București</x:v>
      </x:c>
      <x:c r="G24" s="17" t="str">
        <x:v>Firmă antreprenorială mare cu management local.</x:v>
      </x:c>
      <x:c r="H24" s="17" t="str">
        <x:v>Office Manager / COO / Administrativ</x:v>
      </x:c>
      <x:c r="I24" s="17" t="str">
        <x:v>formular oficial</x:v>
      </x:c>
      <x:c r="J24" s="17" t="str">
        <x:v>https://www.tuca.ro/</x:v>
      </x:c>
      <x:c r="K24" s="17" t="str">
        <x:v>Cine gestionează furnizorii auto și calendarul retururilor?</x:v>
      </x:c>
      <x:c r="L24" s="17" t="str">
        <x:v>Contact general + cerere Office Manager</x:v>
      </x:c>
      <x:c r="M24" s="18" t="str">
        <x:v>Necontactat</x:v>
      </x:c>
    </x:row>
    <x:row r="25">
      <x:c r="A25" s="17" t="n">
        <x:v>21</x:v>
      </x:c>
      <x:c r="B25" s="17" t="str">
        <x:v>Mușat &amp; Asociații</x:v>
      </x:c>
      <x:c r="C25" s="17" t="str">
        <x:v>Servicii juridice</x:v>
      </x:c>
      <x:c r="D25" s="66" t="str">
        <x:v>B</x:v>
      </x:c>
      <x:c r="E25" s="67" t="n">
        <x:v>6.9</x:v>
      </x:c>
      <x:c r="F25" s="17" t="str">
        <x:v>București, Sector 1</x:v>
      </x:c>
      <x:c r="G25" s="17" t="str">
        <x:v>Firmă locală mare, sediu și canal general public.</x:v>
      </x:c>
      <x:c r="H25" s="17" t="str">
        <x:v>Office Manager / Administrativ / COO</x:v>
      </x:c>
      <x:c r="I25" s="17" t="str">
        <x:v>general@musat.ro · +40 21 202 5900</x:v>
      </x:c>
      <x:c r="J25" s="17" t="str">
        <x:v>https://www.musat.ro/contact/</x:v>
      </x:c>
      <x:c r="K25" s="17" t="str">
        <x:v>Există vehicule premium în leasing cu retur în 3–6 luni?</x:v>
      </x:c>
      <x:c r="L25" s="17" t="str">
        <x:v>Email scurt, orientat pe discreție și documentare</x:v>
      </x:c>
      <x:c r="M25" s="18" t="str">
        <x:v>Necontactat</x:v>
      </x:c>
    </x:row>
    <x:row r="26">
      <x:c r="A26" s="17" t="n">
        <x:v>22</x:v>
      </x:c>
      <x:c r="B26" s="17" t="str">
        <x:v>Filip &amp; Company</x:v>
      </x:c>
      <x:c r="C26" s="17" t="str">
        <x:v>Servicii juridice</x:v>
      </x:c>
      <x:c r="D26" s="66" t="str">
        <x:v>B</x:v>
      </x:c>
      <x:c r="E26" s="67" t="n">
        <x:v>6.8</x:v>
      </x:c>
      <x:c r="F26" s="17" t="str">
        <x:v>București, Sector 2</x:v>
      </x:c>
      <x:c r="G26" s="17" t="str">
        <x:v>Firmă de business law cu management local și canal general public.</x:v>
      </x:c>
      <x:c r="H26" s="17" t="str">
        <x:v>COO / Office Manager / Administrativ</x:v>
      </x:c>
      <x:c r="I26" s="17" t="str">
        <x:v>office@filipandcompany.com · +40 21 527 2000</x:v>
      </x:c>
      <x:c r="J26" s="17" t="str">
        <x:v>https://filipandcompany.com/</x:v>
      </x:c>
      <x:c r="K26" s="17" t="str">
        <x:v>Câte autoturisme de management au fereastră de retur în trimestrul următor?</x:v>
      </x:c>
      <x:c r="L26" s="17" t="str">
        <x:v>Email office, fără contactarea avocaților individuali</x:v>
      </x:c>
      <x:c r="M26" s="18" t="str">
        <x:v>Necontactat</x:v>
      </x:c>
    </x:row>
    <x:row r="27">
      <x:c r="A27" s="17" t="n">
        <x:v>23</x:v>
      </x:c>
      <x:c r="B27" s="17" t="str">
        <x:v>RTPR</x:v>
      </x:c>
      <x:c r="C27" s="17" t="str">
        <x:v>Servicii juridice</x:v>
      </x:c>
      <x:c r="D27" s="66" t="str">
        <x:v>B</x:v>
      </x:c>
      <x:c r="E27" s="67" t="n">
        <x:v>6.7</x:v>
      </x:c>
      <x:c r="F27" s="17" t="str">
        <x:v>București, Sector 1</x:v>
      </x:c>
      <x:c r="G27" s="17" t="str">
        <x:v>Firmă locală cu parteneri și sediu central; posibil lot mic de vehicule premium.</x:v>
      </x:c>
      <x:c r="H27" s="17" t="str">
        <x:v>Office Manager / Administrativ / Finance</x:v>
      </x:c>
      <x:c r="I27" s="17" t="str">
        <x:v>office@rtpr.ro · +40 31 405 7777</x:v>
      </x:c>
      <x:c r="J27" s="17" t="str">
        <x:v>https://www.rtpr.ro/contact/</x:v>
      </x:c>
      <x:c r="K27" s="17" t="str">
        <x:v>Există 2–3 mașini care pot fi incluse într-un pilot?</x:v>
      </x:c>
      <x:c r="L27" s="17" t="str">
        <x:v>Contact office + follow-up telefonic</x:v>
      </x:c>
      <x:c r="M27" s="18" t="str">
        <x:v>Necontactat</x:v>
      </x:c>
    </x:row>
    <x:row r="28">
      <x:c r="A28" s="17" t="n">
        <x:v>24</x:v>
      </x:c>
      <x:c r="B28" s="17" t="str">
        <x:v>PeliPartners</x:v>
      </x:c>
      <x:c r="C28" s="17" t="str">
        <x:v>Servicii juridice</x:v>
      </x:c>
      <x:c r="D28" s="66" t="str">
        <x:v>B</x:v>
      </x:c>
      <x:c r="E28" s="67" t="n">
        <x:v>6.6</x:v>
      </x:c>
      <x:c r="F28" s="17" t="str">
        <x:v>București, Sector 1</x:v>
      </x:c>
      <x:c r="G28" s="17" t="str">
        <x:v>Firmă antreprenorială de dimensiune medie; potențial decizie mai scurtă.</x:v>
      </x:c>
      <x:c r="H28" s="17" t="str">
        <x:v>Office Manager / COO / Administrativ</x:v>
      </x:c>
      <x:c r="I28" s="17" t="str">
        <x:v>office@pelipartners.com · +40 721 540 051</x:v>
      </x:c>
      <x:c r="J28" s="17" t="str">
        <x:v>https://pelipartners.com/</x:v>
      </x:c>
      <x:c r="K28" s="17" t="str">
        <x:v>Cine aprobă furnizorii auto și ce retururi urmează?</x:v>
      </x:c>
      <x:c r="L28" s="17" t="str">
        <x:v>Email către office</x:v>
      </x:c>
      <x:c r="M28" s="18" t="str">
        <x:v>Necontactat</x:v>
      </x:c>
    </x:row>
    <x:row r="29">
      <x:c r="A29" s="17" t="n">
        <x:v>25</x:v>
      </x:c>
      <x:c r="B29" s="17" t="str">
        <x:v>Popovici Nițu Stoica &amp; Asociații</x:v>
      </x:c>
      <x:c r="C29" s="17" t="str">
        <x:v>Servicii juridice</x:v>
      </x:c>
      <x:c r="D29" s="66" t="str">
        <x:v>B</x:v>
      </x:c>
      <x:c r="E29" s="67" t="n">
        <x:v>6.5</x:v>
      </x:c>
      <x:c r="F29" s="17" t="str">
        <x:v>București, Sector 1</x:v>
      </x:c>
      <x:c r="G29" s="17" t="str">
        <x:v>Firmă locală mare, cu sediu și operațiuni centralizate.</x:v>
      </x:c>
      <x:c r="H29" s="17" t="str">
        <x:v>Office Manager / Administrativ / COO</x:v>
      </x:c>
      <x:c r="I29" s="17" t="str">
        <x:v>office@pnsa.ro · +40 21 317 7919</x:v>
      </x:c>
      <x:c r="J29" s="17" t="str">
        <x:v>https://pnsa.ro/contact.asp</x:v>
      </x:c>
      <x:c r="K29" s="17" t="str">
        <x:v>Există mașini în leasing operațional ce ies în următoarele 180 zile?</x:v>
      </x:c>
      <x:c r="L29" s="17" t="str">
        <x:v>Email general orientat pe pilot</x:v>
      </x:c>
      <x:c r="M29" s="18" t="str">
        <x:v>Necontactat</x:v>
      </x:c>
    </x:row>
    <x:row r="30">
      <x:c r="A30" s="17" t="n">
        <x:v>26</x:v>
      </x:c>
      <x:c r="B30" s="17" t="str">
        <x:v>Schoenherr România</x:v>
      </x:c>
      <x:c r="C30" s="17" t="str">
        <x:v>Servicii juridice</x:v>
      </x:c>
      <x:c r="D30" s="66" t="str">
        <x:v>C</x:v>
      </x:c>
      <x:c r="E30" s="67" t="n">
        <x:v>6.3</x:v>
      </x:c>
      <x:c r="F30" s="17" t="str">
        <x:v>București, Sector 1</x:v>
      </x:c>
      <x:c r="G30" s="17" t="str">
        <x:v>Echipă de 75 avocați; potențial lot premium, dar achiziție corporativă.</x:v>
      </x:c>
      <x:c r="H30" s="17" t="str">
        <x:v>Office Manager / Procurement / Finance</x:v>
      </x:c>
      <x:c r="I30" s="17" t="str">
        <x:v>office.romania@schoenherr.eu · +40 21 319 6790</x:v>
      </x:c>
      <x:c r="J30" s="17" t="str">
        <x:v>https://www.schoenherr.eu/locations/romania</x:v>
      </x:c>
      <x:c r="K30" s="17" t="str">
        <x:v>Procesul de furnizor este local sau regional?</x:v>
      </x:c>
      <x:c r="L30" s="17" t="str">
        <x:v>Califică procurement înainte de ofertă</x:v>
      </x:c>
      <x:c r="M30" s="18" t="str">
        <x:v>Necontactat</x:v>
      </x:c>
    </x:row>
    <x:row r="31">
      <x:c r="A31" s="17" t="n">
        <x:v>27</x:v>
      </x:c>
      <x:c r="B31" s="17" t="str">
        <x:v>Wolf Theiss România</x:v>
      </x:c>
      <x:c r="C31" s="17" t="str">
        <x:v>Servicii juridice</x:v>
      </x:c>
      <x:c r="D31" s="66" t="str">
        <x:v>C</x:v>
      </x:c>
      <x:c r="E31" s="67" t="n">
        <x:v>6.2</x:v>
      </x:c>
      <x:c r="F31" s="17" t="str">
        <x:v>București, Sector 1</x:v>
      </x:c>
      <x:c r="G31" s="17" t="str">
        <x:v>Birou regional mare; potențial bun, dar aprobare posibil regională.</x:v>
      </x:c>
      <x:c r="H31" s="17" t="str">
        <x:v>Office Manager / Procurement / Finance</x:v>
      </x:c>
      <x:c r="I31" s="17" t="str">
        <x:v>bucuresti@wolftheiss.com · +40 21 308 8100</x:v>
      </x:c>
      <x:c r="J31" s="17" t="str">
        <x:v>https://www.wolftheiss.com/countries/romania/</x:v>
      </x:c>
      <x:c r="K31" s="17" t="str">
        <x:v>Poate biroul din București aproba un pilot local?</x:v>
      </x:c>
      <x:c r="L31" s="17" t="str">
        <x:v>Email general, calificare proces</x:v>
      </x:c>
      <x:c r="M31" s="18" t="str">
        <x:v>Necontactat</x:v>
      </x:c>
    </x:row>
    <x:row r="32">
      <x:c r="A32" s="17" t="n">
        <x:v>28</x:v>
      </x:c>
      <x:c r="B32" s="17" t="str">
        <x:v>Concelex</x:v>
      </x:c>
      <x:c r="C32" s="17" t="str">
        <x:v>Construcții</x:v>
      </x:c>
      <x:c r="D32" s="66" t="str">
        <x:v>C</x:v>
      </x:c>
      <x:c r="E32" s="67" t="n">
        <x:v>6.1</x:v>
      </x:c>
      <x:c r="F32" s="17" t="str">
        <x:v>București, Sector 1</x:v>
      </x:c>
      <x:c r="G32" s="17" t="str">
        <x:v>Companie mare cu operațiuni de șantier; flotă probabilă, dar proces mai lung și vehicule diverse.</x:v>
      </x:c>
      <x:c r="H32" s="17" t="str">
        <x:v>Fleet / Procurement / Operations</x:v>
      </x:c>
      <x:c r="I32" s="17" t="str">
        <x:v>office@concelex.ro · +40 21 318 5489</x:v>
      </x:c>
      <x:c r="J32" s="17" t="str">
        <x:v>https://concelex.ro/</x:v>
      </x:c>
      <x:c r="K32" s="17" t="str">
        <x:v>Se poate izola lotul de autoturisme, separat de utilitare?</x:v>
      </x:c>
      <x:c r="L32" s="17" t="str">
        <x:v>Cere Fleet/Procurement și pilot pe autoturisme</x:v>
      </x:c>
      <x:c r="M32" s="18" t="str">
        <x:v>Necontactat</x:v>
      </x:c>
    </x:row>
    <x:row r="33">
      <x:c r="A33" s="17" t="n">
        <x:v>29</x:v>
      </x:c>
      <x:c r="B33" s="17" t="str">
        <x:v>Bog'Art</x:v>
      </x:c>
      <x:c r="C33" s="17" t="str">
        <x:v>Construcții</x:v>
      </x:c>
      <x:c r="D33" s="66" t="str">
        <x:v>C</x:v>
      </x:c>
      <x:c r="E33" s="67" t="n">
        <x:v>6</x:v>
      </x:c>
      <x:c r="F33" s="17" t="str">
        <x:v>București, Sector 1</x:v>
      </x:c>
      <x:c r="G33" s="17" t="str">
        <x:v>Contractor mare, echipe multiple și Procurement Director public ca rol; valoare mare, ciclu lung.</x:v>
      </x:c>
      <x:c r="H33" s="17" t="str">
        <x:v>Procurement Director / Fleet / Operations</x:v>
      </x:c>
      <x:c r="I33" s="17" t="str">
        <x:v>office@bogart.ro · +40 21 310 3238</x:v>
      </x:c>
      <x:c r="J33" s="17" t="str">
        <x:v>https://www.bogart.ro/contact-us/</x:v>
      </x:c>
      <x:c r="K33" s="17" t="str">
        <x:v>Ce autoturisme de management pot intra într-un pilot separat de flotă?</x:v>
      </x:c>
      <x:c r="L33" s="17" t="str">
        <x:v>Cere Procurement, nu ofertă generică</x:v>
      </x:c>
      <x:c r="M33" s="18" t="str">
        <x:v>Necontactat</x:v>
      </x:c>
    </x:row>
    <x:row r="34">
      <x:c r="A34" s="17" t="n">
        <x:v>30</x:v>
      </x:c>
      <x:c r="B34" s="17" t="str">
        <x:v>Reff &amp; Associates</x:v>
      </x:c>
      <x:c r="C34" s="17" t="str">
        <x:v>Servicii juridice</x:v>
      </x:c>
      <x:c r="D34" s="66" t="str">
        <x:v>C</x:v>
      </x:c>
      <x:c r="E34" s="67" t="n">
        <x:v>5.9</x:v>
      </x:c>
      <x:c r="F34" s="17" t="str">
        <x:v>București</x:v>
      </x:c>
      <x:c r="G34" s="17" t="str">
        <x:v>Firmă mare integrată într-o rețea globală; potențial, dar onboarding furnizor mai lent.</x:v>
      </x:c>
      <x:c r="H34" s="17" t="str">
        <x:v>Office Manager / Procurement / Administrativ</x:v>
      </x:c>
      <x:c r="I34" s="17" t="str">
        <x:v>formular oficial</x:v>
      </x:c>
      <x:c r="J34" s="17" t="str">
        <x:v>https://www.reff-associates.ro/re/en/contact/contact-us.html</x:v>
      </x:c>
      <x:c r="K34" s="17" t="str">
        <x:v>Achiziția se aprobă local și există vehicule eligibile?</x:v>
      </x:c>
      <x:c r="L34" s="17" t="str">
        <x:v>Califică procesul înainte de propunere</x:v>
      </x:c>
      <x:c r="M34" s="18" t="str">
        <x:v>Necontactat</x:v>
      </x:c>
    </x:row>
  </x:sheetData>
  <x:mergeCells>
    <x:mergeCell ref="A1:M1"/>
    <x:mergeCell ref="A2:M2"/>
  </x:mergeCells>
  <x:conditionalFormatting sqref="D5:D34">
    <x:cfRule type="containsText" dxfId="5" priority="1" operator="containsText" text="A"/>
    <x:cfRule type="containsText" dxfId="6" priority="2" operator="containsText" text="C"/>
  </x:conditionalFormatting>
  <x:dataValidations count="1">
    <x:dataValidation type="list" sqref="M5:M34">
      <x:formula1>"Necontactat,Contactat,Răspuns,Discovery,Ofertă,Pilot,Client,Respins"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72" hidden="0" customWidth="1"/>
    <x:col min="4" max="4" width="34" hidden="0" customWidth="1"/>
    <x:col min="5" max="5" width="22" hidden="0" customWidth="1"/>
    <x:col min="6" max="6" width="13" hidden="0" customWidth="1"/>
    <x:col min="7" max="7" width="15" hidden="0" customWidth="1"/>
  </x:cols>
  <x:sheetData>
    <x:row r="1" ht="32" customHeight="1">
      <x:c r="A1" s="3" t="str">
        <x:v>NOVA DETAILING · PLAN PE 30 DE ZILE LUCRĂTOARE</x:v>
      </x:c>
      <x:c r="B1" s="3"/>
      <x:c r="C1" s="3"/>
      <x:c r="D1" s="3"/>
      <x:c r="E1" s="3"/>
      <x:c r="F1" s="3"/>
      <x:c r="G1" s="3"/>
    </x:row>
    <x:row r="2" ht="30" customHeight="1">
      <x:c r="A2" s="7" t="str">
        <x:v>Ordinea este intenționată: ofertă → măsurare → outbound → pilot → raport → contract → gate.</x:v>
      </x:c>
      <x:c r="B2" s="7"/>
      <x:c r="C2" s="7"/>
      <x:c r="D2" s="7"/>
      <x:c r="E2" s="7"/>
      <x:c r="F2" s="7"/>
      <x:c r="G2" s="7"/>
    </x:row>
    <x:row r="4" ht="30" customHeight="1">
      <x:c r="A4" s="13" t="str">
        <x:v>Zi</x:v>
      </x:c>
      <x:c r="B4" s="13" t="str">
        <x:v>Temă</x:v>
      </x:c>
      <x:c r="C4" s="13" t="str">
        <x:v>Lucru concret</x:v>
      </x:c>
      <x:c r="D4" s="13" t="str">
        <x:v>Rezultat / KPI</x:v>
      </x:c>
      <x:c r="E4" s="13" t="str">
        <x:v>Owner</x:v>
      </x:c>
      <x:c r="F4" s="13" t="str">
        <x:v>Data</x:v>
      </x:c>
      <x:c r="G4" s="13" t="str">
        <x:v>Status</x:v>
      </x:c>
    </x:row>
    <x:row r="5">
      <x:c r="A5" s="17" t="str">
        <x:v>Ziua 1</x:v>
      </x:c>
      <x:c r="B5" s="17" t="str">
        <x:v>Ofertă</x:v>
      </x:c>
      <x:c r="C5" s="17" t="str">
        <x:v>Blochează oferta pilot: 3 mașini, o locație, raport foto 24–48h, remediere separat.</x:v>
      </x:c>
      <x:c r="D5" s="17" t="str">
        <x:v>Fișă ofertă v1 aprobată</x:v>
      </x:c>
      <x:c r="E5" s="17" t="str">
        <x:v>Fondator</x:v>
      </x:c>
      <x:c r="F5" s="68" t="n">
        <x:v>46237</x:v>
      </x:c>
      <x:c r="G5" s="18" t="str">
        <x:v>Nu a început</x:v>
      </x:c>
    </x:row>
    <x:row r="6">
      <x:c r="A6" s="17" t="str">
        <x:v>Ziua 2</x:v>
      </x:c>
      <x:c r="B6" s="17" t="str">
        <x:v>Profitabilitate</x:v>
      </x:c>
      <x:c r="C6" s="17" t="str">
        <x:v>Creează fișa de pontaj pe tehnician, boxă, materiale și rework pentru următoarele 20 lucrări.</x:v>
      </x:c>
      <x:c r="D6" s="17" t="str">
        <x:v>100% lucrări măsurate</x:v>
      </x:c>
      <x:c r="E6" s="17" t="str">
        <x:v>Fondator + atelier</x:v>
      </x:c>
      <x:c r="F6" s="68" t="n">
        <x:v>46238</x:v>
      </x:c>
      <x:c r="G6" s="18" t="str">
        <x:v>Nu a început</x:v>
      </x:c>
    </x:row>
    <x:row r="7">
      <x:c r="A7" s="17" t="str">
        <x:v>Ziua 3</x:v>
      </x:c>
      <x:c r="B7" s="17" t="str">
        <x:v>Legal/comercial</x:v>
      </x:c>
      <x:c r="C7" s="17" t="str">
        <x:v>Pregătește ofertă, comandă pilot, termeni, GDPR și disclaimer: raportul nu este evaluare oficială a lessorului.</x:v>
      </x:c>
      <x:c r="D7" s="17" t="str">
        <x:v>Set documente gata</x:v>
      </x:c>
      <x:c r="E7" s="17" t="str">
        <x:v>Fondator + avocat/contabil</x:v>
      </x:c>
      <x:c r="F7" s="68" t="n">
        <x:v>46239</x:v>
      </x:c>
      <x:c r="G7" s="18" t="str">
        <x:v>Nu a început</x:v>
      </x:c>
    </x:row>
    <x:row r="8">
      <x:c r="A8" s="17" t="str">
        <x:v>Ziua 4</x:v>
      </x:c>
      <x:c r="B8" s="17" t="str">
        <x:v>Livrare</x:v>
      </x:c>
      <x:c r="C8" s="17" t="str">
        <x:v>Finalizează șablonul Raport Nova: cadre obligatorii, severitate, recomandare, accept client.</x:v>
      </x:c>
      <x:c r="D8" s="17" t="str">
        <x:v>Raport pilot v1</x:v>
      </x:c>
      <x:c r="E8" s="17" t="str">
        <x:v>Atelier</x:v>
      </x:c>
      <x:c r="F8" s="68" t="n">
        <x:v>46240</x:v>
      </x:c>
      <x:c r="G8" s="18" t="str">
        <x:v>Nu a început</x:v>
      </x:c>
    </x:row>
    <x:row r="9">
      <x:c r="A9" s="17" t="str">
        <x:v>Ziua 5</x:v>
      </x:c>
      <x:c r="B9" s="17" t="str">
        <x:v>CRM</x:v>
      </x:c>
      <x:c r="C9" s="17" t="str">
        <x:v>Importă cei 30 de prospecți, completează rolurile și verifică primele 10 canale oficiale.</x:v>
      </x:c>
      <x:c r="D9" s="17" t="str">
        <x:v>10 conturi validate</x:v>
      </x:c>
      <x:c r="E9" s="17" t="str">
        <x:v>Fondator</x:v>
      </x:c>
      <x:c r="F9" s="68" t="n">
        <x:v>46241</x:v>
      </x:c>
      <x:c r="G9" s="18" t="str">
        <x:v>Nu a început</x:v>
      </x:c>
    </x:row>
    <x:row r="10">
      <x:c r="A10" s="17" t="str">
        <x:v>Ziua 6</x:v>
      </x:c>
      <x:c r="B10" s="17" t="str">
        <x:v>Prospectare</x:v>
      </x:c>
      <x:c r="C10" s="17" t="str">
        <x:v>Identifică rolurile-țintă în companiile A și pregătește câte un motiv specific de contact.</x:v>
      </x:c>
      <x:c r="D10" s="17" t="str">
        <x:v>10 mesaje personalizate</x:v>
      </x:c>
      <x:c r="E10" s="17" t="str">
        <x:v>Fondator</x:v>
      </x:c>
      <x:c r="F10" s="68" t="n">
        <x:v>46244</x:v>
      </x:c>
      <x:c r="G10" s="18" t="str">
        <x:v>Nu a început</x:v>
      </x:c>
    </x:row>
    <x:row r="11">
      <x:c r="A11" s="17" t="str">
        <x:v>Ziua 7</x:v>
      </x:c>
      <x:c r="B11" s="17" t="str">
        <x:v>Mesaj</x:v>
      </x:c>
      <x:c r="C11" s="17" t="str">
        <x:v>Testează scriptul de email, apel și follow-up cu doi antreprenori cunoscuți; elimină jargonul.</x:v>
      </x:c>
      <x:c r="D11" s="17" t="str">
        <x:v>Script v2</x:v>
      </x:c>
      <x:c r="E11" s="17" t="str">
        <x:v>Fondator</x:v>
      </x:c>
      <x:c r="F11" s="68" t="n">
        <x:v>46245</x:v>
      </x:c>
      <x:c r="G11" s="18" t="str">
        <x:v>Nu a început</x:v>
      </x:c>
    </x:row>
    <x:row r="12">
      <x:c r="A12" s="17" t="str">
        <x:v>Ziua 8</x:v>
      </x:c>
      <x:c r="B12" s="17" t="str">
        <x:v>Outbound</x:v>
      </x:c>
      <x:c r="C12" s="17" t="str">
        <x:v>Trimite primele 10 emailuri pe canale corporate; loghează ora și următorul pas.</x:v>
      </x:c>
      <x:c r="D12" s="17" t="str">
        <x:v>10 atingeri</x:v>
      </x:c>
      <x:c r="E12" s="17" t="str">
        <x:v>Fondator</x:v>
      </x:c>
      <x:c r="F12" s="68" t="n">
        <x:v>46246</x:v>
      </x:c>
      <x:c r="G12" s="18" t="str">
        <x:v>Nu a început</x:v>
      </x:c>
    </x:row>
    <x:row r="13">
      <x:c r="A13" s="17" t="str">
        <x:v>Ziua 9</x:v>
      </x:c>
      <x:c r="B13" s="17" t="str">
        <x:v>Outbound</x:v>
      </x:c>
      <x:c r="C13" s="17" t="str">
        <x:v>Sună primele 5 companii și cere doar responsabilul + calendarul retururilor.</x:v>
      </x:c>
      <x:c r="D13" s="17" t="str">
        <x:v>5 apeluri</x:v>
      </x:c>
      <x:c r="E13" s="17" t="str">
        <x:v>Fondator</x:v>
      </x:c>
      <x:c r="F13" s="68" t="n">
        <x:v>46247</x:v>
      </x:c>
      <x:c r="G13" s="18" t="str">
        <x:v>Nu a început</x:v>
      </x:c>
    </x:row>
    <x:row r="14">
      <x:c r="A14" s="17" t="str">
        <x:v>Ziua 10</x:v>
      </x:c>
      <x:c r="B14" s="17" t="str">
        <x:v>Conținut</x:v>
      </x:c>
      <x:c r="C14" s="17" t="str">
        <x:v>Publică pagina Companii și un exemplu anonim de structură de raport.</x:v>
      </x:c>
      <x:c r="D14" s="17" t="str">
        <x:v>Pagină live/local validată</x:v>
      </x:c>
      <x:c r="E14" s="17" t="str">
        <x:v>Fondator + web</x:v>
      </x:c>
      <x:c r="F14" s="68" t="n">
        <x:v>46248</x:v>
      </x:c>
      <x:c r="G14" s="18" t="str">
        <x:v>Nu a început</x:v>
      </x:c>
    </x:row>
    <x:row r="15">
      <x:c r="A15" s="17" t="str">
        <x:v>Ziua 11</x:v>
      </x:c>
      <x:c r="B15" s="17" t="str">
        <x:v>Outbound</x:v>
      </x:c>
      <x:c r="C15" s="17" t="str">
        <x:v>Trimite al doilea lot de 10 emailuri; folosește altă ipoteză pe segment.</x:v>
      </x:c>
      <x:c r="D15" s="17" t="str">
        <x:v>20 conturi atinse cumulat</x:v>
      </x:c>
      <x:c r="E15" s="17" t="str">
        <x:v>Fondator</x:v>
      </x:c>
      <x:c r="F15" s="68" t="n">
        <x:v>46251</x:v>
      </x:c>
      <x:c r="G15" s="18" t="str">
        <x:v>Nu a început</x:v>
      </x:c>
    </x:row>
    <x:row r="16">
      <x:c r="A16" s="17" t="str">
        <x:v>Ziua 12</x:v>
      </x:c>
      <x:c r="B16" s="17" t="str">
        <x:v>Follow-up</x:v>
      </x:c>
      <x:c r="C16" s="17" t="str">
        <x:v>Follow-up la lotul 1: o întrebare, o dovadă, un CTA de 15 minute.</x:v>
      </x:c>
      <x:c r="D16" s="17" t="str">
        <x:v>Minim 3 răspunsuri cumulat</x:v>
      </x:c>
      <x:c r="E16" s="17" t="str">
        <x:v>Fondator</x:v>
      </x:c>
      <x:c r="F16" s="68" t="n">
        <x:v>46252</x:v>
      </x:c>
      <x:c r="G16" s="18" t="str">
        <x:v>Nu a început</x:v>
      </x:c>
    </x:row>
    <x:row r="17">
      <x:c r="A17" s="17" t="str">
        <x:v>Ziua 13</x:v>
      </x:c>
      <x:c r="B17" s="17" t="str">
        <x:v>Discovery</x:v>
      </x:c>
      <x:c r="C17" s="17" t="str">
        <x:v>Ține primele discuții; colectează număr vehicule, lessor, date retur, durere, aprobator și buget.</x:v>
      </x:c>
      <x:c r="D17" s="17" t="str">
        <x:v>1–2 discovery</x:v>
      </x:c>
      <x:c r="E17" s="17" t="str">
        <x:v>Fondator</x:v>
      </x:c>
      <x:c r="F17" s="68" t="n">
        <x:v>46253</x:v>
      </x:c>
      <x:c r="G17" s="18" t="str">
        <x:v>Nu a început</x:v>
      </x:c>
    </x:row>
    <x:row r="18">
      <x:c r="A18" s="17" t="str">
        <x:v>Ziua 14</x:v>
      </x:c>
      <x:c r="B18" s="17" t="str">
        <x:v>Propunere</x:v>
      </x:c>
      <x:c r="C18" s="17" t="str">
        <x:v>Trimite oferta pilot în maximum 2 ore după discovery, cu două ferestre de programare.</x:v>
      </x:c>
      <x:c r="D18" s="17" t="str">
        <x:v>1 ofertă trimisă</x:v>
      </x:c>
      <x:c r="E18" s="17" t="str">
        <x:v>Fondator</x:v>
      </x:c>
      <x:c r="F18" s="68" t="n">
        <x:v>46254</x:v>
      </x:c>
      <x:c r="G18" s="18" t="str">
        <x:v>Nu a început</x:v>
      </x:c>
    </x:row>
    <x:row r="19">
      <x:c r="A19" s="17" t="str">
        <x:v>Ziua 15</x:v>
      </x:c>
      <x:c r="B19" s="17" t="str">
        <x:v>Review</x:v>
      </x:c>
      <x:c r="C19" s="17" t="str">
        <x:v>Analizează 50+ atingeri, rata de răspuns și obiecțiile; schimbă segmentul dacă răspunsul este sub 5%.</x:v>
      </x:c>
      <x:c r="D19" s="17" t="str">
        <x:v>Decizie de optimizare</x:v>
      </x:c>
      <x:c r="E19" s="17" t="str">
        <x:v>Fondator</x:v>
      </x:c>
      <x:c r="F19" s="68" t="n">
        <x:v>46255</x:v>
      </x:c>
      <x:c r="G19" s="18" t="str">
        <x:v>Nu a început</x:v>
      </x:c>
    </x:row>
    <x:row r="20">
      <x:c r="A20" s="17" t="str">
        <x:v>Ziua 16</x:v>
      </x:c>
      <x:c r="B20" s="17" t="str">
        <x:v>Outbound</x:v>
      </x:c>
      <x:c r="C20" s="17" t="str">
        <x:v>Abordează următoarele 10 conturi și 5 introduceri calde de la clienți/furnizori.</x:v>
      </x:c>
      <x:c r="D20" s="17" t="str">
        <x:v>15 atingeri</x:v>
      </x:c>
      <x:c r="E20" s="17" t="str">
        <x:v>Fondator</x:v>
      </x:c>
      <x:c r="F20" s="68" t="n">
        <x:v>46258</x:v>
      </x:c>
      <x:c r="G20" s="18" t="str">
        <x:v>Nu a început</x:v>
      </x:c>
    </x:row>
    <x:row r="21">
      <x:c r="A21" s="17" t="str">
        <x:v>Ziua 17</x:v>
      </x:c>
      <x:c r="B21" s="17" t="str">
        <x:v>Discovery</x:v>
      </x:c>
      <x:c r="C21" s="17" t="str">
        <x:v>Rulează o simulare de inspecție de 3 mașini și măsoară timpul complet.</x:v>
      </x:c>
      <x:c r="D21" s="17" t="str">
        <x:v>Timp pilot măsurat</x:v>
      </x:c>
      <x:c r="E21" s="17" t="str">
        <x:v>Atelier</x:v>
      </x:c>
      <x:c r="F21" s="68" t="n">
        <x:v>46259</x:v>
      </x:c>
      <x:c r="G21" s="18" t="str">
        <x:v>Nu a început</x:v>
      </x:c>
    </x:row>
    <x:row r="22">
      <x:c r="A22" s="17" t="str">
        <x:v>Ziua 18</x:v>
      </x:c>
      <x:c r="B22" s="17" t="str">
        <x:v>Follow-up</x:v>
      </x:c>
      <x:c r="C22" s="17" t="str">
        <x:v>Follow-up lotul 2 și oferte deschise; cere data exactă a deciziei.</x:v>
      </x:c>
      <x:c r="D22" s="17" t="str">
        <x:v>2 oferte active</x:v>
      </x:c>
      <x:c r="E22" s="17" t="str">
        <x:v>Fondator</x:v>
      </x:c>
      <x:c r="F22" s="68" t="n">
        <x:v>46260</x:v>
      </x:c>
      <x:c r="G22" s="18" t="str">
        <x:v>Nu a început</x:v>
      </x:c>
    </x:row>
    <x:row r="23">
      <x:c r="A23" s="17" t="str">
        <x:v>Ziua 19</x:v>
      </x:c>
      <x:c r="B23" s="17" t="str">
        <x:v>Pilot</x:v>
      </x:c>
      <x:c r="C23" s="17" t="str">
        <x:v>Confirmă primul pilot în scris, colectează ghidul lessorului și lista VIN.</x:v>
      </x:c>
      <x:c r="D23" s="17" t="str">
        <x:v>Pilot programat</x:v>
      </x:c>
      <x:c r="E23" s="17" t="str">
        <x:v>Fondator</x:v>
      </x:c>
      <x:c r="F23" s="68" t="n">
        <x:v>46261</x:v>
      </x:c>
      <x:c r="G23" s="18" t="str">
        <x:v>Nu a început</x:v>
      </x:c>
    </x:row>
    <x:row r="24">
      <x:c r="A24" s="17" t="str">
        <x:v>Ziua 20</x:v>
      </x:c>
      <x:c r="B24" s="17" t="str">
        <x:v>Pilot</x:v>
      </x:c>
      <x:c r="C24" s="17" t="str">
        <x:v>Execută inspecțiile, fotografiile și trierea; nu începe remedierea fără acord.</x:v>
      </x:c>
      <x:c r="D24" s="17" t="str">
        <x:v>3 fișe complete</x:v>
      </x:c>
      <x:c r="E24" s="17" t="str">
        <x:v>Atelier</x:v>
      </x:c>
      <x:c r="F24" s="68" t="n">
        <x:v>46262</x:v>
      </x:c>
      <x:c r="G24" s="18" t="str">
        <x:v>Nu a început</x:v>
      </x:c>
    </x:row>
    <x:row r="25">
      <x:c r="A25" s="17" t="str">
        <x:v>Ziua 21</x:v>
      </x:c>
      <x:c r="B25" s="17" t="str">
        <x:v>Raport</x:v>
      </x:c>
      <x:c r="C25" s="17" t="str">
        <x:v>Livrează raportul în 24–48h cu opțiuni: acceptabil, de monitorizat, recomandat de remediat.</x:v>
      </x:c>
      <x:c r="D25" s="17" t="str">
        <x:v>Raport la termen</x:v>
      </x:c>
      <x:c r="E25" s="17" t="str">
        <x:v>Atelier + fondator</x:v>
      </x:c>
      <x:c r="F25" s="68" t="n">
        <x:v>46265</x:v>
      </x:c>
      <x:c r="G25" s="18" t="str">
        <x:v>Nu a început</x:v>
      </x:c>
    </x:row>
    <x:row r="26">
      <x:c r="A26" s="17" t="str">
        <x:v>Ziua 22</x:v>
      </x:c>
      <x:c r="B26" s="17" t="str">
        <x:v>Upsell</x:v>
      </x:c>
      <x:c r="C26" s="17" t="str">
        <x:v>Prezintă remedierea separat, cu preț, timp, risc și aprobare pe fiecare vehicul.</x:v>
      </x:c>
      <x:c r="D26" s="17" t="str">
        <x:v>Decizie pe remediere</x:v>
      </x:c>
      <x:c r="E26" s="17" t="str">
        <x:v>Fondator</x:v>
      </x:c>
      <x:c r="F26" s="68" t="n">
        <x:v>46266</x:v>
      </x:c>
      <x:c r="G26" s="18" t="str">
        <x:v>Nu a început</x:v>
      </x:c>
    </x:row>
    <x:row r="27">
      <x:c r="A27" s="17" t="str">
        <x:v>Ziua 23</x:v>
      </x:c>
      <x:c r="B27" s="17" t="str">
        <x:v>Dovadă</x:v>
      </x:c>
      <x:c r="C27" s="17" t="str">
        <x:v>Cere feedback și permisiune pentru studiu de caz anonim; cuantifică timpul și costul evitat doar dacă e verificabil.</x:v>
      </x:c>
      <x:c r="D27" s="17" t="str">
        <x:v>Testimonial sau feedback</x:v>
      </x:c>
      <x:c r="E27" s="17" t="str">
        <x:v>Fondator</x:v>
      </x:c>
      <x:c r="F27" s="68" t="n">
        <x:v>46267</x:v>
      </x:c>
      <x:c r="G27" s="18" t="str">
        <x:v>Nu a început</x:v>
      </x:c>
    </x:row>
    <x:row r="28">
      <x:c r="A28" s="17" t="str">
        <x:v>Ziua 24</x:v>
      </x:c>
      <x:c r="B28" s="17" t="str">
        <x:v>Cadru</x:v>
      </x:c>
      <x:c r="C28" s="17" t="str">
        <x:v>Propune acord 6 luni: audit la retur + SLA + prețuri pe tip de intervenție, fără volum garantat.</x:v>
      </x:c>
      <x:c r="D28" s="17" t="str">
        <x:v>Propunere cadru</x:v>
      </x:c>
      <x:c r="E28" s="17" t="str">
        <x:v>Fondator</x:v>
      </x:c>
      <x:c r="F28" s="68" t="n">
        <x:v>46268</x:v>
      </x:c>
      <x:c r="G28" s="18" t="str">
        <x:v>Nu a început</x:v>
      </x:c>
    </x:row>
    <x:row r="29">
      <x:c r="A29" s="17" t="str">
        <x:v>Ziua 25</x:v>
      </x:c>
      <x:c r="B29" s="17" t="str">
        <x:v>Pipeline</x:v>
      </x:c>
      <x:c r="C29" s="17" t="str">
        <x:v>Completează alte 20 de conturi pentru valul 2 folosind profilul care a răspuns cel mai bine.</x:v>
      </x:c>
      <x:c r="D29" s="17" t="str">
        <x:v>50 conturi în CRM</x:v>
      </x:c>
      <x:c r="E29" s="17" t="str">
        <x:v>Fondator</x:v>
      </x:c>
      <x:c r="F29" s="68" t="n">
        <x:v>46269</x:v>
      </x:c>
      <x:c r="G29" s="18" t="str">
        <x:v>Nu a început</x:v>
      </x:c>
    </x:row>
    <x:row r="30">
      <x:c r="A30" s="17" t="str">
        <x:v>Ziua 26</x:v>
      </x:c>
      <x:c r="B30" s="17" t="str">
        <x:v>Operațional</x:v>
      </x:c>
      <x:c r="C30" s="17" t="str">
        <x:v>Finalizează SOP: recepție, fotografii, chei, custodie, aprobare, rework, predare.</x:v>
      </x:c>
      <x:c r="D30" s="17" t="str">
        <x:v>SOP v1 semnat intern</x:v>
      </x:c>
      <x:c r="E30" s="17" t="str">
        <x:v>Atelier</x:v>
      </x:c>
      <x:c r="F30" s="68" t="n">
        <x:v>46272</x:v>
      </x:c>
      <x:c r="G30" s="18" t="str">
        <x:v>Nu a început</x:v>
      </x:c>
    </x:row>
    <x:row r="31">
      <x:c r="A31" s="17" t="str">
        <x:v>Ziua 27</x:v>
      </x:c>
      <x:c r="B31" s="17" t="str">
        <x:v>Financiar</x:v>
      </x:c>
      <x:c r="C31" s="17" t="str">
        <x:v>Calculează marja reală pe pilot, lei/oră tehnician și lei/zi boxă; compară cu retail.</x:v>
      </x:c>
      <x:c r="D31" s="17" t="str">
        <x:v>Fișă unit economics</x:v>
      </x:c>
      <x:c r="E31" s="17" t="str">
        <x:v>Fondator</x:v>
      </x:c>
      <x:c r="F31" s="68" t="n">
        <x:v>46273</x:v>
      </x:c>
      <x:c r="G31" s="18" t="str">
        <x:v>Nu a început</x:v>
      </x:c>
    </x:row>
    <x:row r="32">
      <x:c r="A32" s="17" t="str">
        <x:v>Ziua 28</x:v>
      </x:c>
      <x:c r="B32" s="17" t="str">
        <x:v>Închidere</x:v>
      </x:c>
      <x:c r="C32" s="17" t="str">
        <x:v>Negociază doar pe scop/volum, nu pe standard; cere semnătură și data primei ferestre.</x:v>
      </x:c>
      <x:c r="D32" s="17" t="str">
        <x:v>Acord verbal sau obiecție finală</x:v>
      </x:c>
      <x:c r="E32" s="17" t="str">
        <x:v>Fondator</x:v>
      </x:c>
      <x:c r="F32" s="68" t="n">
        <x:v>46274</x:v>
      </x:c>
      <x:c r="G32" s="18" t="str">
        <x:v>Nu a început</x:v>
      </x:c>
    </x:row>
    <x:row r="33">
      <x:c r="A33" s="17" t="str">
        <x:v>Ziua 29</x:v>
      </x:c>
      <x:c r="B33" s="17" t="str">
        <x:v>Administrativ</x:v>
      </x:c>
      <x:c r="C33" s="17" t="str">
        <x:v>Testează contract, factură, e-Factura, arhivare raport și email de predare.</x:v>
      </x:c>
      <x:c r="D33" s="17" t="str">
        <x:v>Flux administrativ testat</x:v>
      </x:c>
      <x:c r="E33" s="17" t="str">
        <x:v>Fondator + contabil</x:v>
      </x:c>
      <x:c r="F33" s="68" t="n">
        <x:v>46275</x:v>
      </x:c>
      <x:c r="G33" s="18" t="str">
        <x:v>Nu a început</x:v>
      </x:c>
    </x:row>
    <x:row r="34">
      <x:c r="A34" s="17" t="str">
        <x:v>Ziua 30</x:v>
      </x:c>
      <x:c r="B34" s="17" t="str">
        <x:v>Gate 30 zile</x:v>
      </x:c>
      <x:c r="C34" s="17" t="str">
        <x:v>Decide: scalează, ajustează sau oprește ipoteza pe baza KPI-urilor, nu a impresiilor.</x:v>
      </x:c>
      <x:c r="D34" s="17" t="str">
        <x:v>1 pilot + 3 oferte sau pivot</x:v>
      </x:c>
      <x:c r="E34" s="17" t="str">
        <x:v>Fondator</x:v>
      </x:c>
      <x:c r="F34" s="68" t="n">
        <x:v>46276</x:v>
      </x:c>
      <x:c r="G34" s="18" t="str">
        <x:v>Nu a început</x:v>
      </x:c>
    </x:row>
  </x:sheetData>
  <x:mergeCells>
    <x:mergeCell ref="A1:G1"/>
    <x:mergeCell ref="A2:G2"/>
  </x:mergeCells>
  <x:dataValidations count="1">
    <x:dataValidation type="list" sqref="G5:G34">
      <x:formula1>"Nu a început,În lucru,Blocat,Finalizat"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54" hidden="0" customWidth="1"/>
    <x:col min="4" max="4" width="42" hidden="0" customWidth="1"/>
    <x:col min="5" max="5" width="16" hidden="0" customWidth="1"/>
  </x:cols>
  <x:sheetData>
    <x:row r="1" ht="32" customHeight="1">
      <x:c r="A1" s="3" t="str">
        <x:v>NOVA DETAILING · PLAN 13 SĂPTĂMÂNI</x:v>
      </x:c>
      <x:c r="B1" s="3"/>
      <x:c r="C1" s="3"/>
      <x:c r="D1" s="3"/>
      <x:c r="E1" s="3"/>
    </x:row>
    <x:row r="2" ht="30" customHeight="1">
      <x:c r="A2" s="7" t="str">
        <x:v>Fiecare săptămână se închide vineri cu 30 minute de KPI, cash și următorul experiment.</x:v>
      </x:c>
      <x:c r="B2" s="7"/>
      <x:c r="C2" s="7"/>
      <x:c r="D2" s="7"/>
      <x:c r="E2" s="7"/>
    </x:row>
    <x:row r="4" ht="30" customHeight="1">
      <x:c r="A4" s="13" t="str">
        <x:v>Săptămâna</x:v>
      </x:c>
      <x:c r="B4" s="13" t="str">
        <x:v>Focus</x:v>
      </x:c>
      <x:c r="C4" s="13" t="str">
        <x:v>Livrabil</x:v>
      </x:c>
      <x:c r="D4" s="13" t="str">
        <x:v>Prag măsurabil</x:v>
      </x:c>
      <x:c r="E4" s="13" t="str">
        <x:v>Status</x:v>
      </x:c>
    </x:row>
    <x:row r="5">
      <x:c r="A5" s="17" t="str">
        <x:v>S1</x:v>
      </x:c>
      <x:c r="B5" s="17" t="str">
        <x:v>Oferta și măsurarea</x:v>
      </x:c>
      <x:c r="C5" s="17" t="str">
        <x:v>Oferta pilot, raportul și time-study sunt gata.</x:v>
      </x:c>
      <x:c r="D5" s="17" t="str">
        <x:v>20 conturi validate; 0 promisiuni neacoperite</x:v>
      </x:c>
      <x:c r="E5" s="18" t="str">
        <x:v>Nu a început</x:v>
      </x:c>
    </x:row>
    <x:row r="6">
      <x:c r="A6" s="17" t="str">
        <x:v>S2</x:v>
      </x:c>
      <x:c r="B6" s="17" t="str">
        <x:v>Primul outbound</x:v>
      </x:c>
      <x:c r="C6" s="17" t="str">
        <x:v>Primele două loturi de outreach și scriptul de apel.</x:v>
      </x:c>
      <x:c r="D6" s="17" t="str">
        <x:v>20 conturi; 35–40 atingeri; ≥2 răspunsuri</x:v>
      </x:c>
      <x:c r="E6" s="18" t="str">
        <x:v>Nu a început</x:v>
      </x:c>
    </x:row>
    <x:row r="7">
      <x:c r="A7" s="17" t="str">
        <x:v>S3</x:v>
      </x:c>
      <x:c r="B7" s="17" t="str">
        <x:v>Discovery</x:v>
      </x:c>
      <x:c r="C7" s="17" t="str">
        <x:v>Calificare strictă după flotă, retur, lessor și aprobator.</x:v>
      </x:c>
      <x:c r="D7" s="17" t="str">
        <x:v>2–3 discovery; 1 ofertă pilot</x:v>
      </x:c>
      <x:c r="E7" s="18" t="str">
        <x:v>Nu a început</x:v>
      </x:c>
    </x:row>
    <x:row r="8">
      <x:c r="A8" s="17" t="str">
        <x:v>S4</x:v>
      </x:c>
      <x:c r="B8" s="17" t="str">
        <x:v>Primul pilot</x:v>
      </x:c>
      <x:c r="C8" s="17" t="str">
        <x:v>Programare și execuție pilot sau decizie de schimbare a segmentului.</x:v>
      </x:c>
      <x:c r="D8" s="17" t="str">
        <x:v>1 pilot programat; ≥80 atingeri cumulat</x:v>
      </x:c>
      <x:c r="E8" s="18" t="str">
        <x:v>Nu a început</x:v>
      </x:c>
    </x:row>
    <x:row r="9">
      <x:c r="A9" s="17" t="str">
        <x:v>S5</x:v>
      </x:c>
      <x:c r="B9" s="17" t="str">
        <x:v>Dovadă</x:v>
      </x:c>
      <x:c r="C9" s="17" t="str">
        <x:v>Raport livrat la termen și marjă calculată.</x:v>
      </x:c>
      <x:c r="D9" s="17" t="str">
        <x:v>SLA 100%; marjă contribuție ≥55%</x:v>
      </x:c>
      <x:c r="E9" s="18" t="str">
        <x:v>Nu a început</x:v>
      </x:c>
    </x:row>
    <x:row r="10">
      <x:c r="A10" s="17" t="str">
        <x:v>S6</x:v>
      </x:c>
      <x:c r="B10" s="17" t="str">
        <x:v>Al doilea pilot</x:v>
      </x:c>
      <x:c r="C10" s="17" t="str">
        <x:v>Aplică lecțiile și scurtează timpul fără a reduce standardul.</x:v>
      </x:c>
      <x:c r="D10" s="17" t="str">
        <x:v>2 piloți cumulat; rework &lt;5%</x:v>
      </x:c>
      <x:c r="E10" s="18" t="str">
        <x:v>Nu a început</x:v>
      </x:c>
    </x:row>
    <x:row r="11">
      <x:c r="A11" s="17" t="str">
        <x:v>S7</x:v>
      </x:c>
      <x:c r="B11" s="17" t="str">
        <x:v>Studiu de caz</x:v>
      </x:c>
      <x:c r="C11" s="17" t="str">
        <x:v>Caz anonim și oferta cadru 6 luni.</x:v>
      </x:c>
      <x:c r="D11" s="17" t="str">
        <x:v>1 studiu de caz; 1 propunere cadru</x:v>
      </x:c>
      <x:c r="E11" s="18" t="str">
        <x:v>Nu a început</x:v>
      </x:c>
    </x:row>
    <x:row r="12">
      <x:c r="A12" s="17" t="str">
        <x:v>S8</x:v>
      </x:c>
      <x:c r="B12" s="17" t="str">
        <x:v>Primul acord</x:v>
      </x:c>
      <x:c r="C12" s="17" t="str">
        <x:v>Închide un acord cu fereastră concretă de lucru.</x:v>
      </x:c>
      <x:c r="D12" s="17" t="str">
        <x:v>1 client cadru semnat</x:v>
      </x:c>
      <x:c r="E12" s="18" t="str">
        <x:v>Nu a început</x:v>
      </x:c>
    </x:row>
    <x:row r="13">
      <x:c r="A13" s="17" t="str">
        <x:v>S9</x:v>
      </x:c>
      <x:c r="B13" s="17" t="str">
        <x:v>Pipeline 2</x:v>
      </x:c>
      <x:c r="C13" s="17" t="str">
        <x:v>Extinde la încă 20–30 companii similare contului câștigat.</x:v>
      </x:c>
      <x:c r="D13" s="17" t="str">
        <x:v>60 conturi; 120 atingeri/lună</x:v>
      </x:c>
      <x:c r="E13" s="18" t="str">
        <x:v>Nu a început</x:v>
      </x:c>
    </x:row>
    <x:row r="14">
      <x:c r="A14" s="17" t="str">
        <x:v>S10</x:v>
      </x:c>
      <x:c r="B14" s="17" t="str">
        <x:v>Recurență</x:v>
      </x:c>
      <x:c r="C14" s="17" t="str">
        <x:v>Calendar de retururi pe 90 zile și forecast pe capacitate.</x:v>
      </x:c>
      <x:c r="D14" s="17" t="str">
        <x:v>2 luni vizibile în pipeline</x:v>
      </x:c>
      <x:c r="E14" s="18" t="str">
        <x:v>Nu a început</x:v>
      </x:c>
    </x:row>
    <x:row r="15">
      <x:c r="A15" s="17" t="str">
        <x:v>S11</x:v>
      </x:c>
      <x:c r="B15" s="17" t="str">
        <x:v>Parteneriate</x:v>
      </x:c>
      <x:c r="C15" s="17" t="str">
        <x:v>Testează introduceri prin brokeri, contabili, administratori și clienți existenți.</x:v>
      </x:c>
      <x:c r="D15" s="17" t="str">
        <x:v>5 introduceri calde</x:v>
      </x:c>
      <x:c r="E15" s="18" t="str">
        <x:v>Nu a început</x:v>
      </x:c>
    </x:row>
    <x:row r="16">
      <x:c r="A16" s="17" t="str">
        <x:v>S12</x:v>
      </x:c>
      <x:c r="B16" s="17" t="str">
        <x:v>Marjă</x:v>
      </x:c>
      <x:c r="C16" s="17" t="str">
        <x:v>Reprețuiește orice serviciu sub pragul de contribuție.</x:v>
      </x:c>
      <x:c r="D16" s="17" t="str">
        <x:v>Nicio ofertă sub 55% contribuție</x:v>
      </x:c>
      <x:c r="E16" s="18" t="str">
        <x:v>Nu a început</x:v>
      </x:c>
    </x:row>
    <x:row r="17">
      <x:c r="A17" s="17" t="str">
        <x:v>S13</x:v>
      </x:c>
      <x:c r="B17" s="17" t="str">
        <x:v>Gate 90 zile</x:v>
      </x:c>
      <x:c r="C17" s="17" t="str">
        <x:v>Revizuiește segment, ofertă, cash și capacitate.</x:v>
      </x:c>
      <x:c r="D17" s="17" t="str">
        <x:v>2 clienți activi sau pivot documentat</x:v>
      </x:c>
      <x:c r="E17" s="18" t="str">
        <x:v>Nu a început</x:v>
      </x:c>
    </x:row>
  </x:sheetData>
  <x:mergeCells>
    <x:mergeCell ref="A1:E1"/>
    <x:mergeCell ref="A2:E2"/>
  </x:mergeCells>
  <x:dataValidations count="1">
    <x:dataValidation type="list" sqref="E5:E17">
      <x:formula1>"Nu a început,În lucru,Blocat,Finalizat"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52" hidden="0" customWidth="1"/>
    <x:col min="4" max="4" width="42" hidden="0" customWidth="1"/>
    <x:col min="5" max="5" width="45" hidden="0" customWidth="1"/>
  </x:cols>
  <x:sheetData>
    <x:row r="1" ht="32" customHeight="1">
      <x:c r="A1" s="3" t="str">
        <x:v>NOVA DETAILING · PLAN 12 LUNI</x:v>
      </x:c>
      <x:c r="B1" s="3"/>
      <x:c r="C1" s="3"/>
      <x:c r="D1" s="3"/>
      <x:c r="E1" s="3"/>
    </x:row>
    <x:row r="2" ht="30" customHeight="1">
      <x:c r="A2" s="7" t="str">
        <x:v>Scalarea este condiționată de marjă, cash și capacitate; școala rămâne opțională până la validarea cererii.</x:v>
      </x:c>
      <x:c r="B2" s="7"/>
      <x:c r="C2" s="7"/>
      <x:c r="D2" s="7"/>
      <x:c r="E2" s="7"/>
    </x:row>
    <x:row r="4" ht="30" customHeight="1">
      <x:c r="A4" s="13" t="str">
        <x:v>Lună</x:v>
      </x:c>
      <x:c r="B4" s="13" t="str">
        <x:v>Obiectiv</x:v>
      </x:c>
      <x:c r="C4" s="13" t="str">
        <x:v>Rezultat obligatoriu</x:v>
      </x:c>
      <x:c r="D4" s="13" t="str">
        <x:v>KPI / prag</x:v>
      </x:c>
      <x:c r="E4" s="13" t="str">
        <x:v>Regulă de decizie</x:v>
      </x:c>
    </x:row>
    <x:row r="5">
      <x:c r="A5" s="17" t="str">
        <x:v>Luna 1</x:v>
      </x:c>
      <x:c r="B5" s="17" t="str">
        <x:v>Validare</x:v>
      </x:c>
      <x:c r="C5" s="17" t="str">
        <x:v>1 pilot plătit, ofertă repetabilă, 20 lucrări măsurate.</x:v>
      </x:c>
      <x:c r="D5" s="17" t="str">
        <x:v>80–120 atingeri; 5 discovery; 3 oferte; 1 pilot</x:v>
      </x:c>
      <x:c r="E5" s="17" t="str">
        <x:v>Nu angaja și nu cumpăra echipamente mari.</x:v>
      </x:c>
    </x:row>
    <x:row r="6">
      <x:c r="A6" s="17" t="str">
        <x:v>Luna 2</x:v>
      </x:c>
      <x:c r="B6" s="17" t="str">
        <x:v>Dovadă</x:v>
      </x:c>
      <x:c r="C6" s="17" t="str">
        <x:v>2 piloți cumulat și un studiu de caz utilizabil.</x:v>
      </x:c>
      <x:c r="D6" s="17" t="str">
        <x:v>SLA ≥95%; marjă contribuție ≥55%; rework &lt;5%</x:v>
      </x:c>
      <x:c r="E6" s="17" t="str">
        <x:v>Dacă nu există piloți, restrânge ICP-ul.</x:v>
      </x:c>
    </x:row>
    <x:row r="7">
      <x:c r="A7" s="17" t="str">
        <x:v>Luna 3</x:v>
      </x:c>
      <x:c r="B7" s="17" t="str">
        <x:v>Primul contract</x:v>
      </x:c>
      <x:c r="C7" s="17" t="str">
        <x:v>1 client cadru și calendar de retururi pe 90 zile.</x:v>
      </x:c>
      <x:c r="D7" s="17" t="str">
        <x:v>1 client activ; B2B ≥10% venit</x:v>
      </x:c>
      <x:c r="E7" s="17" t="str">
        <x:v>Păstrează doar segmentele cu răspuns.</x:v>
      </x:c>
    </x:row>
    <x:row r="8">
      <x:c r="A8" s="17" t="str">
        <x:v>Luna 4</x:v>
      </x:c>
      <x:c r="B8" s="17" t="str">
        <x:v>Repetabilitate</x:v>
      </x:c>
      <x:c r="C8" s="17" t="str">
        <x:v>Al doilea client activ și raport standard stabil.</x:v>
      </x:c>
      <x:c r="D8" s="17" t="str">
        <x:v>2 clienți; 3 piloți/lună</x:v>
      </x:c>
      <x:c r="E8" s="17" t="str">
        <x:v>Nu accepta discount fără volum sau scop redus.</x:v>
      </x:c>
    </x:row>
    <x:row r="9">
      <x:c r="A9" s="17" t="str">
        <x:v>Luna 5</x:v>
      </x:c>
      <x:c r="B9" s="17" t="str">
        <x:v>Capacitate</x:v>
      </x:c>
      <x:c r="C9" s="17" t="str">
        <x:v>Planificare retail+B2B pe boxă și tehnician.</x:v>
      </x:c>
      <x:c r="D9" s="17" t="str">
        <x:v>Utilizare 55–65%; rework &lt;4%</x:v>
      </x:c>
      <x:c r="E9" s="17" t="str">
        <x:v>Protejează sloturile retail profitabile.</x:v>
      </x:c>
    </x:row>
    <x:row r="10">
      <x:c r="A10" s="17" t="str">
        <x:v>Luna 6</x:v>
      </x:c>
      <x:c r="B10" s="17" t="str">
        <x:v>Break-even</x:v>
      </x:c>
      <x:c r="C10" s="17" t="str">
        <x:v>Rezultat operațional lunar pozitiv în scenariul de bază.</x:v>
      </x:c>
      <x:c r="D10" s="17" t="str">
        <x:v>Venit net ~50k; rezultat &gt;0; cash pozitiv</x:v>
      </x:c>
      <x:c r="E10" s="17" t="str">
        <x:v>Dacă bufferul nu e finanțat, limitează investițiile și costul fix.</x:v>
      </x:c>
    </x:row>
    <x:row r="11">
      <x:c r="A11" s="17" t="str">
        <x:v>Luna 7</x:v>
      </x:c>
      <x:c r="B11" s="17" t="str">
        <x:v>Recurență</x:v>
      </x:c>
      <x:c r="C11" s="17" t="str">
        <x:v>3 clienți activi și forecast pe 8 săptămâni.</x:v>
      </x:c>
      <x:c r="D11" s="17" t="str">
        <x:v>B2B ≥20% venit; churn 0</x:v>
      </x:c>
      <x:c r="E11" s="17" t="str">
        <x:v>Adaugă SLA doar dacă operațional este susținut.</x:v>
      </x:c>
    </x:row>
    <x:row r="12">
      <x:c r="A12" s="17" t="str">
        <x:v>Luna 8</x:v>
      </x:c>
      <x:c r="B12" s="17" t="str">
        <x:v>Referințe</x:v>
      </x:c>
      <x:c r="C12" s="17" t="str">
        <x:v>2 studii de caz și un mecanism de recomandări.</x:v>
      </x:c>
      <x:c r="D12" s="17" t="str">
        <x:v>5 introduceri calde/lună</x:v>
      </x:c>
      <x:c r="E12" s="17" t="str">
        <x:v>Nu publica economii nevalidate.</x:v>
      </x:c>
    </x:row>
    <x:row r="13">
      <x:c r="A13" s="17" t="str">
        <x:v>Luna 9</x:v>
      </x:c>
      <x:c r="B13" s="17" t="str">
        <x:v>Scalare controlată</x:v>
      </x:c>
      <x:c r="C13" s="17" t="str">
        <x:v>Al patrulea client activ; CRM și ofertare disciplinate.</x:v>
      </x:c>
      <x:c r="D13" s="17" t="str">
        <x:v>Pipeline ponderat ≥2× ținta lunară</x:v>
      </x:c>
      <x:c r="E13" s="17" t="str">
        <x:v>Nu extinde geografic înainte de densitate locală.</x:v>
      </x:c>
    </x:row>
    <x:row r="14">
      <x:c r="A14" s="17" t="str">
        <x:v>Luna 10</x:v>
      </x:c>
      <x:c r="B14" s="17" t="str">
        <x:v>Eficiență</x:v>
      </x:c>
      <x:c r="C14" s="17" t="str">
        <x:v>Timp mediu de raport și remediere în scădere.</x:v>
      </x:c>
      <x:c r="D14" s="17" t="str">
        <x:v>Lei/oră tehnician +10% față de L2</x:v>
      </x:c>
      <x:c r="E14" s="17" t="str">
        <x:v>Standardizează, nu grăbi etapele de control.</x:v>
      </x:c>
    </x:row>
    <x:row r="15">
      <x:c r="A15" s="17" t="str">
        <x:v>Luna 11</x:v>
      </x:c>
      <x:c r="B15" s="17" t="str">
        <x:v>Portofoliu</x:v>
      </x:c>
      <x:c r="C15" s="17" t="str">
        <x:v>Renegociază clienții sub marjă și retrage serviciile slabe.</x:v>
      </x:c>
      <x:c r="D15" s="17" t="str">
        <x:v>Contribuție totală ≥68%</x:v>
      </x:c>
      <x:c r="E15" s="17" t="str">
        <x:v>Elimină VIP anual în forma veche.</x:v>
      </x:c>
    </x:row>
    <x:row r="16">
      <x:c r="A16" s="17" t="str">
        <x:v>Luna 12</x:v>
      </x:c>
      <x:c r="B16" s="17" t="str">
        <x:v>Profitabilitate</x:v>
      </x:c>
      <x:c r="C16" s="17" t="str">
        <x:v>5 clienți activi, rezultat anual pozitiv și cash buffer refăcut.</x:v>
      </x:c>
      <x:c r="D16" s="17" t="str">
        <x:v>Venit 12M ~600k; profit operațional &gt;0; cash &gt;45k</x:v>
      </x:c>
      <x:c r="E16" s="17" t="str">
        <x:v>Aprobă angajarea doar cu cerere contractată.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29" hidden="0" customWidth="1"/>
    <x:col min="7" max="7" width="18" hidden="0" customWidth="1"/>
  </x:cols>
  <x:sheetData>
    <x:row r="1" ht="32" customHeight="1">
      <x:c r="A1" s="3" t="str">
        <x:v>NOVA DETAILING · KPI DE CONDUCERE</x:v>
      </x:c>
      <x:c r="B1" s="3"/>
      <x:c r="C1" s="3"/>
      <x:c r="D1" s="3"/>
      <x:c r="E1" s="3"/>
      <x:c r="F1" s="3"/>
      <x:c r="G1" s="3"/>
    </x:row>
    <x:row r="2" ht="30" customHeight="1">
      <x:c r="A2" s="7" t="str">
        <x:v>Completează Actual săptămânal/lunar. Nu urmări doar cifra de afaceri: contribuția, cash-ul și utilizarea decid sănătatea modelului.</x:v>
      </x:c>
      <x:c r="B2" s="7"/>
      <x:c r="C2" s="7"/>
      <x:c r="D2" s="7"/>
      <x:c r="E2" s="7"/>
      <x:c r="F2" s="7"/>
      <x:c r="G2" s="7"/>
    </x:row>
    <x:row r="4" ht="30" customHeight="1">
      <x:c r="A4" s="13" t="str">
        <x:v>KPI</x:v>
      </x:c>
      <x:c r="B4" s="13" t="str">
        <x:v>Frecvență</x:v>
      </x:c>
      <x:c r="C4" s="13" t="str">
        <x:v>Țintă</x:v>
      </x:c>
      <x:c r="D4" s="13" t="str">
        <x:v>Actual</x:v>
      </x:c>
      <x:c r="E4" s="13" t="str">
        <x:v>Gap</x:v>
      </x:c>
      <x:c r="F4" s="13" t="str">
        <x:v>Sursă</x:v>
      </x:c>
      <x:c r="G4" s="13" t="str">
        <x:v>Owner</x:v>
      </x:c>
    </x:row>
    <x:row r="5">
      <x:c r="A5" s="17" t="str">
        <x:v>Atingeri outbound</x:v>
      </x:c>
      <x:c r="B5" s="17" t="str">
        <x:v>săptămânal</x:v>
      </x:c>
      <x:c r="C5" s="17" t="n">
        <x:v>30</x:v>
      </x:c>
      <x:c r="D5" s="18"/>
      <x:c r="E5" s="17" t="str">
        <x:f>IF(D5="","",D5-C5)</x:f>
      </x:c>
      <x:c r="F5" s="17" t="str">
        <x:v>CRM</x:v>
      </x:c>
      <x:c r="G5" s="17" t="str">
        <x:v>Fondator</x:v>
      </x:c>
    </x:row>
    <x:row r="6">
      <x:c r="A6" s="17" t="str">
        <x:v>Rată răspuns</x:v>
      </x:c>
      <x:c r="B6" s="17" t="str">
        <x:v>săptămânal</x:v>
      </x:c>
      <x:c r="C6" s="29" t="n">
        <x:v>0.1</x:v>
      </x:c>
      <x:c r="D6" s="69"/>
      <x:c r="E6" s="17" t="str">
        <x:f>IF(D6="","",D6-C6)</x:f>
      </x:c>
      <x:c r="F6" s="17" t="str">
        <x:v>CRM</x:v>
      </x:c>
      <x:c r="G6" s="17" t="str">
        <x:v>Fondator</x:v>
      </x:c>
    </x:row>
    <x:row r="7">
      <x:c r="A7" s="17" t="str">
        <x:v>Discovery</x:v>
      </x:c>
      <x:c r="B7" s="17" t="str">
        <x:v>lunar</x:v>
      </x:c>
      <x:c r="C7" s="17" t="n">
        <x:v>5</x:v>
      </x:c>
      <x:c r="D7" s="18"/>
      <x:c r="E7" s="17" t="str">
        <x:f>IF(D7="","",D7-C7)</x:f>
      </x:c>
      <x:c r="F7" s="17" t="str">
        <x:v>CRM</x:v>
      </x:c>
      <x:c r="G7" s="17" t="str">
        <x:v>Fondator</x:v>
      </x:c>
    </x:row>
    <x:row r="8">
      <x:c r="A8" s="17" t="str">
        <x:v>Piloți ofertați</x:v>
      </x:c>
      <x:c r="B8" s="17" t="str">
        <x:v>lunar</x:v>
      </x:c>
      <x:c r="C8" s="17" t="n">
        <x:v>3</x:v>
      </x:c>
      <x:c r="D8" s="18"/>
      <x:c r="E8" s="17" t="str">
        <x:f>IF(D8="","",D8-C8)</x:f>
      </x:c>
      <x:c r="F8" s="17" t="str">
        <x:v>CRM</x:v>
      </x:c>
      <x:c r="G8" s="17" t="str">
        <x:v>Fondator</x:v>
      </x:c>
    </x:row>
    <x:row r="9">
      <x:c r="A9" s="17" t="str">
        <x:v>Piloți executați</x:v>
      </x:c>
      <x:c r="B9" s="17" t="str">
        <x:v>lunar</x:v>
      </x:c>
      <x:c r="C9" s="17" t="n">
        <x:v>2</x:v>
      </x:c>
      <x:c r="D9" s="18"/>
      <x:c r="E9" s="17" t="str">
        <x:f>IF(D9="","",D9-C9)</x:f>
      </x:c>
      <x:c r="F9" s="17" t="str">
        <x:v>Operațional</x:v>
      </x:c>
      <x:c r="G9" s="17" t="str">
        <x:v>Atelier</x:v>
      </x:c>
    </x:row>
    <x:row r="10">
      <x:c r="A10" s="17" t="str">
        <x:v>Marjă contribuție pilot</x:v>
      </x:c>
      <x:c r="B10" s="17" t="str">
        <x:v>per pilot</x:v>
      </x:c>
      <x:c r="C10" s="29" t="n">
        <x:v>0.55</x:v>
      </x:c>
      <x:c r="D10" s="69"/>
      <x:c r="E10" s="17" t="str">
        <x:f>IF(D10="","",D10-C10)</x:f>
      </x:c>
      <x:c r="F10" s="17" t="str">
        <x:v>Fișă cost</x:v>
      </x:c>
      <x:c r="G10" s="17" t="str">
        <x:v>Fondator</x:v>
      </x:c>
    </x:row>
    <x:row r="11">
      <x:c r="A11" s="17" t="str">
        <x:v>SLA raport în 48h</x:v>
      </x:c>
      <x:c r="B11" s="17" t="str">
        <x:v>lunar</x:v>
      </x:c>
      <x:c r="C11" s="29" t="n">
        <x:v>0.95</x:v>
      </x:c>
      <x:c r="D11" s="69"/>
      <x:c r="E11" s="17" t="str">
        <x:f>IF(D11="","",D11-C11)</x:f>
      </x:c>
      <x:c r="F11" s="17" t="str">
        <x:v>Rapoarte</x:v>
      </x:c>
      <x:c r="G11" s="17" t="str">
        <x:v>Atelier</x:v>
      </x:c>
    </x:row>
    <x:row r="12">
      <x:c r="A12" s="17" t="str">
        <x:v>Rework</x:v>
      </x:c>
      <x:c r="B12" s="17" t="str">
        <x:v>lunar</x:v>
      </x:c>
      <x:c r="C12" s="29" t="n">
        <x:v>0.05</x:v>
      </x:c>
      <x:c r="D12" s="69"/>
      <x:c r="E12" s="17" t="str">
        <x:f>IF(D12="","",D12-C12)</x:f>
      </x:c>
      <x:c r="F12" s="17" t="str">
        <x:v>Jobs</x:v>
      </x:c>
      <x:c r="G12" s="17" t="str">
        <x:v>Atelier</x:v>
      </x:c>
    </x:row>
    <x:row r="13">
      <x:c r="A13" s="17" t="str">
        <x:v>Lei / oră tehnician</x:v>
      </x:c>
      <x:c r="B13" s="17" t="str">
        <x:v>lunar</x:v>
      </x:c>
      <x:c r="C13" s="17" t="n">
        <x:v>180</x:v>
      </x:c>
      <x:c r="D13" s="18"/>
      <x:c r="E13" s="17" t="str">
        <x:f>IF(D13="","",D13-C13)</x:f>
      </x:c>
      <x:c r="F13" s="17" t="str">
        <x:v>Time-study</x:v>
      </x:c>
      <x:c r="G13" s="17" t="str">
        <x:v>Fondator</x:v>
      </x:c>
    </x:row>
    <x:row r="14">
      <x:c r="A14" s="17" t="str">
        <x:v>Utilizare max. boxe</x:v>
      </x:c>
      <x:c r="B14" s="17" t="str">
        <x:v>lunar</x:v>
      </x:c>
      <x:c r="C14" s="29" t="n">
        <x:v>0.7</x:v>
      </x:c>
      <x:c r="D14" s="69"/>
      <x:c r="E14" s="17" t="str">
        <x:f>IF(D14="","",D14-C14)</x:f>
      </x:c>
      <x:c r="F14" s="17" t="str">
        <x:v>Calendar</x:v>
      </x:c>
      <x:c r="G14" s="17" t="str">
        <x:v>Fondator</x:v>
      </x:c>
    </x:row>
    <x:row r="15">
      <x:c r="A15" s="17" t="str">
        <x:v>Cash final</x:v>
      </x:c>
      <x:c r="B15" s="17" t="str">
        <x:v>lunar</x:v>
      </x:c>
      <x:c r="C15" s="17" t="n">
        <x:v>45000</x:v>
      </x:c>
      <x:c r="D15" s="18"/>
      <x:c r="E15" s="17" t="str">
        <x:f>IF(D15="","",D15-C15)</x:f>
      </x:c>
      <x:c r="F15" s="17" t="str">
        <x:v>Bancă + cashflow</x:v>
      </x:c>
      <x:c r="G15" s="17" t="str">
        <x:v>Fondator</x:v>
      </x:c>
    </x:row>
    <x:row r="16">
      <x:c r="A16" s="17" t="str">
        <x:v>Clienți B2B activi</x:v>
      </x:c>
      <x:c r="B16" s="17" t="str">
        <x:v>lunar</x:v>
      </x:c>
      <x:c r="C16" s="17" t="n">
        <x:v>2</x:v>
      </x:c>
      <x:c r="D16" s="18"/>
      <x:c r="E16" s="17" t="str">
        <x:f>IF(D16="","",D16-C16)</x:f>
      </x:c>
      <x:c r="F16" s="17" t="str">
        <x:v>Contracte</x:v>
      </x:c>
      <x:c r="G16" s="17" t="str">
        <x:v>Fondator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0" hidden="0" customWidth="1"/>
    <x:col min="3" max="3" width="18" hidden="0" customWidth="1"/>
    <x:col min="4" max="4" width="15" hidden="0" customWidth="1"/>
  </x:cols>
  <x:sheetData>
    <x:row r="1" ht="32" customHeight="1">
      <x:c r="A1" s="3" t="str">
        <x:v>NOVA DETAILING · VERIFICĂRI MODEL</x:v>
      </x:c>
      <x:c r="B1" s="3"/>
      <x:c r="C1" s="3"/>
      <x:c r="D1" s="3"/>
    </x:row>
    <x:row r="2" ht="30" customHeight="1">
      <x:c r="A2" s="7" t="str">
        <x:v>Toate verificările trebuie să fie PASS înainte ca scenariul să fie folosit pentru decizii de angajare sau investiții.</x:v>
      </x:c>
      <x:c r="B2" s="7"/>
      <x:c r="C2" s="7"/>
      <x:c r="D2" s="7"/>
    </x:row>
    <x:row r="4" ht="30" customHeight="1">
      <x:c r="A4" s="13" t="str">
        <x:v>Control</x:v>
      </x:c>
      <x:c r="B4" s="13" t="str">
        <x:v>Rezultat</x:v>
      </x:c>
      <x:c r="C4" s="13" t="str">
        <x:v>Prag</x:v>
      </x:c>
      <x:c r="D4" s="13" t="str">
        <x:v>Status</x:v>
      </x:c>
    </x:row>
    <x:row r="5">
      <x:c r="A5" s="17" t="str">
        <x:v>Venitul total = suma fluxurilor</x:v>
      </x:c>
      <x:c r="B5" s="70" t="n">
        <x:f>SUM('Model 12L'!K5:K16)-SUM('Model 12L'!G5:J16)</x:f>
        <x:v>0</x:v>
      </x:c>
      <x:c r="C5" s="70" t="n">
        <x:v>0</x:v>
      </x:c>
      <x:c r="D5" s="17" t="str">
        <x:f>IF(ABS(B5)&lt;=0.01,"PASS","ATENȚIE")</x:f>
        <x:v>PASS</x:v>
      </x:c>
    </x:row>
    <x:row r="6">
      <x:c r="A6" s="17" t="str">
        <x:v>Capacitatea nu este depășită</x:v>
      </x:c>
      <x:c r="B6" s="70" t="n">
        <x:f>COUNTIF('Model 12L'!U5:U16,"OVER")</x:f>
        <x:v>0</x:v>
      </x:c>
      <x:c r="C6" s="70" t="n">
        <x:v>0</x:v>
      </x:c>
      <x:c r="D6" s="17" t="str">
        <x:f>IF(B6=0,"PASS","OVER")</x:f>
        <x:v>PASS</x:v>
      </x:c>
    </x:row>
    <x:row r="7">
      <x:c r="A7" s="17" t="str">
        <x:v>Cash-ul nu devine negativ</x:v>
      </x:c>
      <x:c r="B7" s="70" t="n">
        <x:f>MIN('Model 12L'!Q5:Q16)</x:f>
        <x:v>10210</x:v>
      </x:c>
      <x:c r="C7" s="70" t="n">
        <x:v>0</x:v>
      </x:c>
      <x:c r="D7" s="17" t="str">
        <x:f>IF(B7&gt;=0,"PASS","ATENȚIE")</x:f>
        <x:v>PASS</x:v>
      </x:c>
    </x:row>
    <x:row r="8">
      <x:c r="A8" s="17" t="str">
        <x:v>Cash-ul final depășește bufferul</x:v>
      </x:c>
      <x:c r="B8" s="70" t="n">
        <x:f>MIN('Model 12L'!Q5:Q16)-Ipoteze!C34</x:f>
        <x:v>-34790</x:v>
      </x:c>
      <x:c r="C8" s="70" t="n">
        <x:v>0</x:v>
      </x:c>
      <x:c r="D8" s="17" t="str">
        <x:f>IF(B8&gt;=0,"PASS","ATENȚIE")</x:f>
        <x:v>ATENȚIE</x:v>
      </x:c>
    </x:row>
    <x:row r="9">
      <x:c r="A9" s="17" t="str">
        <x:v>Există o lună profitabilă până în luna 6</x:v>
      </x:c>
      <x:c r="B9" s="70" t="n">
        <x:f>MATCH(TRUE,'Model 12L'!O5:O16&gt;0,0)</x:f>
        <x:v>6</x:v>
      </x:c>
      <x:c r="C9" s="70" t="n">
        <x:v>6</x:v>
      </x:c>
      <x:c r="D9" s="17" t="str">
        <x:f>IF(B9&lt;=C9,"PASS","ATENȚIE")</x:f>
        <x:v>PASS</x:v>
      </x:c>
    </x:row>
    <x:row r="10">
      <x:c r="A10" s="17" t="str">
        <x:v>Lista de prospectare are 30 companii</x:v>
      </x:c>
      <x:c r="B10" s="70" t="n">
        <x:f>COUNTA('30 Prospecți'!B5:B34)</x:f>
        <x:v>30</x:v>
      </x:c>
      <x:c r="C10" s="70" t="n">
        <x:v>30</x:v>
      </x:c>
      <x:c r="D10" s="17" t="str">
        <x:f>IF(B10=C10,"PASS","ATENȚIE")</x:f>
        <x:v>PASS</x:v>
      </x:c>
    </x:row>
    <x:row r="11">
      <x:c r="A11" s="17" t="str">
        <x:v>Costurile fixe sunt integral incluse</x:v>
      </x:c>
      <x:c r="B11" s="70" t="n">
        <x:f>Ipoteze!C32</x:f>
        <x:v>35100</x:v>
      </x:c>
      <x:c r="C11" s="70" t="n">
        <x:v>35100</x:v>
      </x:c>
      <x:c r="D11" s="17" t="str">
        <x:f>IF(B11=C11,"PASS","ATENȚIE")</x:f>
        <x:v>PASS</x:v>
      </x:c>
    </x:row>
    <x:row r="12">
      <x:c r="A12" s="17" t="str">
        <x:v>Rezultat anual operațional pozitiv</x:v>
      </x:c>
      <x:c r="B12" s="70" t="n">
        <x:f>SUM('Model 12L'!O5:O16)</x:f>
        <x:v>30969</x:v>
      </x:c>
      <x:c r="C12" s="70" t="n">
        <x:v>0</x:v>
      </x:c>
      <x:c r="D12" s="17" t="str">
        <x:f>IF(B12&gt;C12,"PASS","ATENȚIE")</x:f>
        <x:v>PASS</x:v>
      </x:c>
    </x:row>
  </x:sheetData>
  <x:mergeCells>
    <x:mergeCell ref="A1:D1"/>
    <x:mergeCell ref="A2:D2"/>
  </x:mergeCells>
  <x:conditionalFormatting sqref="D5:D12">
    <x:cfRule type="containsText" dxfId="7" priority="1" operator="containsText" text="PASS"/>
    <x:cfRule type="containsText" dxfId="8" priority="2" operator="containsText" text="OVER"/>
    <x:cfRule type="containsText" dxfId="9" priority="3" operator="containsText" text="ATENȚIE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6" hidden="0" customWidth="1"/>
    <x:col min="3" max="3" width="30" hidden="0" customWidth="1"/>
    <x:col min="4" max="4" width="72" hidden="0" customWidth="1"/>
    <x:col min="5" max="5" width="50" hidden="0" customWidth="1"/>
  </x:cols>
  <x:sheetData>
    <x:row r="1" ht="32" customHeight="1">
      <x:c r="A1" s="3" t="str">
        <x:v>NOVA DETAILING · SURSE ȘI LIMITĂRI</x:v>
      </x:c>
      <x:c r="B1" s="3"/>
      <x:c r="C1" s="3"/>
      <x:c r="D1" s="3"/>
      <x:c r="E1" s="3"/>
    </x:row>
    <x:row r="2" ht="30" customHeight="1">
      <x:c r="A2" s="7" t="str">
        <x:v>Sursele sunt publice și verificate la 31 iulie 2026. Informațiile comerciale despre flotă nu sunt publice și trebuie validate direct.</x:v>
      </x:c>
      <x:c r="B2" s="7"/>
      <x:c r="C2" s="7"/>
      <x:c r="D2" s="7"/>
      <x:c r="E2" s="7"/>
    </x:row>
    <x:row r="4" ht="30" customHeight="1">
      <x:c r="A4" s="13" t="str">
        <x:v>Categorie</x:v>
      </x:c>
      <x:c r="B4" s="13" t="str">
        <x:v>Afirmație / utilizare</x:v>
      </x:c>
      <x:c r="C4" s="13" t="str">
        <x:v>Sursă</x:v>
      </x:c>
      <x:c r="D4" s="13" t="str">
        <x:v>URL</x:v>
      </x:c>
      <x:c r="E4" s="13" t="str">
        <x:v>Limitare / acțiune</x:v>
      </x:c>
    </x:row>
    <x:row r="5">
      <x:c r="A5" s="17" t="str">
        <x:v>Fiscal</x:v>
      </x:c>
      <x:c r="B5" s="17" t="str">
        <x:v>TVA 21% începând cu 1 august 2025</x:v>
      </x:c>
      <x:c r="C5" s="17" t="str">
        <x:v>ANAF</x:v>
      </x:c>
      <x:c r="D5" s="17" t="str">
        <x:v>https://static.anaf.ro/static/10/Anaf/AsistentaContribuabili_r/Cotele_de_TVA_09.2025.pdf</x:v>
      </x:c>
      <x:c r="E5" s="17" t="str">
        <x:v>Modelul este net de TVA; verifică permanent actualizările.</x:v>
      </x:c>
    </x:row>
    <x:row r="6">
      <x:c r="A6" s="17" t="str">
        <x:v>Fiscal</x:v>
      </x:c>
      <x:c r="B6" s="17" t="str">
        <x:v>RO e-Factura: termen de transmitere 5 zile lucrătoare în 2026</x:v>
      </x:c>
      <x:c r="C6" s="17" t="str">
        <x:v>ANAF</x:v>
      </x:c>
      <x:c r="D6" s="17" t="str">
        <x:v>https://static.anaf.ro/static/3/Ploiesti/20260115111226_comunicat%20ajfp%20arges%20-%20modificari%20ro%20e-factura%20site.pdf</x:v>
      </x:c>
      <x:c r="E6" s="17" t="str">
        <x:v>Confirmă fluxul cu contabilul.</x:v>
      </x:c>
    </x:row>
    <x:row r="7">
      <x:c r="A7" s="17" t="str">
        <x:v>Registru</x:v>
      </x:c>
      <x:c r="B7" s="17" t="str">
        <x:v>CAEN Rev.3: corespondența vechiului 4520 către 9531</x:v>
      </x:c>
      <x:c r="C7" s="17" t="str">
        <x:v>ONRC</x:v>
      </x:c>
      <x:c r="D7" s="17" t="str">
        <x:v>https://www.onrc.ro/documente/anunturi/Corespondenta-CAEN-Rev.2-CAEN-Rev.3.pdf</x:v>
      </x:c>
      <x:c r="E7" s="17" t="str">
        <x:v>Verifică obiectul de activitate înainte de contractare.</x:v>
      </x:c>
    </x:row>
    <x:row r="8">
      <x:c r="A8" s="17" t="str">
        <x:v>Registru</x:v>
      </x:c>
      <x:c r="B8" s="17" t="str">
        <x:v>Structura completă CAEN Rev.3</x:v>
      </x:c>
      <x:c r="C8" s="17" t="str">
        <x:v>ONRC</x:v>
      </x:c>
      <x:c r="D8" s="17" t="str">
        <x:v>https://www.onrc.ro/documente/caen/CAEN_Rev.3_structura_completa.pdf</x:v>
      </x:c>
      <x:c r="E8" s="17" t="str">
        <x:v>Referință oficială.</x:v>
      </x:c>
    </x:row>
    <x:row r="9">
      <x:c r="A9" s="17" t="str">
        <x:v>Retur leasing</x:v>
      </x:c>
      <x:c r="B9" s="17" t="str">
        <x:v>Ghid de returnare vehicule flotă</x:v>
      </x:c>
      <x:c r="C9" s="17" t="str">
        <x:v>Ayvens România</x:v>
      </x:c>
      <x:c r="D9" s="17" t="str">
        <x:v>https://www.ayvens.com/-/media/ayvens/public/ro/ghid-returnare-vehicule-flota-ex-lp.pdf?rev=-1</x:v>
      </x:c>
      <x:c r="E9" s="17" t="str">
        <x:v>Raportul Nova este pre-retur, nu evaluare oficială.</x:v>
      </x:c>
    </x:row>
    <x:row r="10">
      <x:c r="A10" s="17" t="str">
        <x:v>Retur leasing</x:v>
      </x:c>
      <x:c r="B10" s="17" t="str">
        <x:v>Proces de returnare și evaluare</x:v>
      </x:c>
      <x:c r="C10" s="17" t="str">
        <x:v>Business Lease România</x:v>
      </x:c>
      <x:c r="D10" s="17" t="str">
        <x:v>https://www.businesslease.ro/pentru-clienti/returnarea-masinii</x:v>
      </x:c>
      <x:c r="E10" s="17" t="str">
        <x:v>Evaluatorul/lessorul decide taxarea finală.</x:v>
      </x:c>
    </x:row>
    <x:row r="11">
      <x:c r="A11" s="17" t="str">
        <x:v>Date personale</x:v>
      </x:c>
      <x:c r="B11" s="17" t="str">
        <x:v>Regulamentul general privind protecția datelor</x:v>
      </x:c>
      <x:c r="C11" s="17" t="str">
        <x:v>EUR-Lex</x:v>
      </x:c>
      <x:c r="D11" s="17" t="str">
        <x:v>https://eur-lex.europa.eu/legal-content/RO/TXT/?uri=CELEX%3A32016R0679</x:v>
      </x:c>
      <x:c r="E11" s="17" t="str">
        <x:v>Formularul B2B trebuie să aibă informare și retenție.</x:v>
      </x:c>
    </x:row>
    <x:row r="12">
      <x:c r="A12" s="17" t="str">
        <x:v>Prospect</x:v>
      </x:c>
      <x:c r="B12" s="17" t="str">
        <x:v>Speedwell – canal public</x:v>
      </x:c>
      <x:c r="C12" s="17" t="str">
        <x:v>Speedwell</x:v>
      </x:c>
      <x:c r="D12" s="17" t="str">
        <x:v>https://www.speedwell.be/were-here/</x:v>
      </x:c>
      <x:c r="E12" s="17" t="str">
        <x:v>Flota și retururile nu sunt confirmate public; se califică înainte de ofertă.</x:v>
      </x:c>
    </x:row>
    <x:row r="13">
      <x:c r="A13" s="17" t="str">
        <x:v>Prospect</x:v>
      </x:c>
      <x:c r="B13" s="17" t="str">
        <x:v>HILS Development – canal public</x:v>
      </x:c>
      <x:c r="C13" s="17" t="str">
        <x:v>HILS Development</x:v>
      </x:c>
      <x:c r="D13" s="17" t="str">
        <x:v>https://hils.ro/</x:v>
      </x:c>
      <x:c r="E13" s="17" t="str">
        <x:v>Flota și retururile nu sunt confirmate public; se califică înainte de ofertă.</x:v>
      </x:c>
    </x:row>
    <x:row r="14">
      <x:c r="A14" s="17" t="str">
        <x:v>Prospect</x:v>
      </x:c>
      <x:c r="B14" s="17" t="str">
        <x:v>REDPORT – canal public</x:v>
      </x:c>
      <x:c r="C14" s="17" t="str">
        <x:v>REDPORT</x:v>
      </x:c>
      <x:c r="D14" s="17" t="str">
        <x:v>https://redport.ro/ro/contact/</x:v>
      </x:c>
      <x:c r="E14" s="17" t="str">
        <x:v>Flota și retururile nu sunt confirmate public; se califică înainte de ofertă.</x:v>
      </x:c>
    </x:row>
    <x:row r="15">
      <x:c r="A15" s="17" t="str">
        <x:v>Prospect</x:v>
      </x:c>
      <x:c r="B15" s="17" t="str">
        <x:v>Nusco Imobiliara – canal public</x:v>
      </x:c>
      <x:c r="C15" s="17" t="str">
        <x:v>Nusco Imobiliara</x:v>
      </x:c>
      <x:c r="D15" s="17" t="str">
        <x:v>https://nusco.ro/temp/contact-us/</x:v>
      </x:c>
      <x:c r="E15" s="17" t="str">
        <x:v>Flota și retururile nu sunt confirmate public; se califică înainte de ofertă.</x:v>
      </x:c>
    </x:row>
    <x:row r="16">
      <x:c r="A16" s="17" t="str">
        <x:v>Prospect</x:v>
      </x:c>
      <x:c r="B16" s="17" t="str">
        <x:v>IMPACT Developer &amp; Contractor – canal public</x:v>
      </x:c>
      <x:c r="C16" s="17" t="str">
        <x:v>IMPACT Developer &amp; Contractor</x:v>
      </x:c>
      <x:c r="D16" s="17" t="str">
        <x:v>https://impactsa.ro/contact</x:v>
      </x:c>
      <x:c r="E16" s="17" t="str">
        <x:v>Flota și retururile nu sunt confirmate public; se califică înainte de ofertă.</x:v>
      </x:c>
    </x:row>
    <x:row r="17">
      <x:c r="A17" s="17" t="str">
        <x:v>Prospect</x:v>
      </x:c>
      <x:c r="B17" s="17" t="str">
        <x:v>Genesis Property – canal public</x:v>
      </x:c>
      <x:c r="C17" s="17" t="str">
        <x:v>Genesis Property</x:v>
      </x:c>
      <x:c r="D17" s="17" t="str">
        <x:v>https://www.genesisproperty.net/en/contact/leasing/</x:v>
      </x:c>
      <x:c r="E17" s="17" t="str">
        <x:v>Flota și retururile nu sunt confirmate public; se califică înainte de ofertă.</x:v>
      </x:c>
    </x:row>
    <x:row r="18">
      <x:c r="A18" s="17" t="str">
        <x:v>Prospect</x:v>
      </x:c>
      <x:c r="B18" s="17" t="str">
        <x:v>Graphein – canal public</x:v>
      </x:c>
      <x:c r="C18" s="17" t="str">
        <x:v>Graphein</x:v>
      </x:c>
      <x:c r="D18" s="17" t="str">
        <x:v>https://graphein.ro/en/contact/</x:v>
      </x:c>
      <x:c r="E18" s="17" t="str">
        <x:v>Flota și retururile nu sunt confirmate public; se califică înainte de ofertă.</x:v>
      </x:c>
    </x:row>
    <x:row r="19">
      <x:c r="A19" s="17" t="str">
        <x:v>Prospect</x:v>
      </x:c>
      <x:c r="B19" s="17" t="str">
        <x:v>Leviatan Design – canal public</x:v>
      </x:c>
      <x:c r="C19" s="17" t="str">
        <x:v>Leviatan Design</x:v>
      </x:c>
      <x:c r="D19" s="17" t="str">
        <x:v>https://leviatan.ro/en/home/</x:v>
      </x:c>
      <x:c r="E19" s="17" t="str">
        <x:v>Flota și retururile nu sunt confirmate public; se califică înainte de ofertă.</x:v>
      </x:c>
    </x:row>
    <x:row r="20">
      <x:c r="A20" s="17" t="str">
        <x:v>Prospect</x:v>
      </x:c>
      <x:c r="B20" s="17" t="str">
        <x:v>Zitec – canal public</x:v>
      </x:c>
      <x:c r="C20" s="17" t="str">
        <x:v>Zitec</x:v>
      </x:c>
      <x:c r="D20" s="17" t="str">
        <x:v>https://zitec.com/contact/</x:v>
      </x:c>
      <x:c r="E20" s="17" t="str">
        <x:v>Flota și retururile nu sunt confirmate public; se califică înainte de ofertă.</x:v>
      </x:c>
    </x:row>
    <x:row r="21">
      <x:c r="A21" s="17" t="str">
        <x:v>Prospect</x:v>
      </x:c>
      <x:c r="B21" s="17" t="str">
        <x:v>mindit.io – canal public</x:v>
      </x:c>
      <x:c r="C21" s="17" t="str">
        <x:v>mindit.io</x:v>
      </x:c>
      <x:c r="D21" s="17" t="str">
        <x:v>https://mindit.io/contact-us/</x:v>
      </x:c>
      <x:c r="E21" s="17" t="str">
        <x:v>Flota și retururile nu sunt confirmate public; se califică înainte de ofertă.</x:v>
      </x:c>
    </x:row>
    <x:row r="22">
      <x:c r="A22" s="17" t="str">
        <x:v>Prospect</x:v>
      </x:c>
      <x:c r="B22" s="17" t="str">
        <x:v>One United Properties – canal public</x:v>
      </x:c>
      <x:c r="C22" s="17" t="str">
        <x:v>One United Properties</x:v>
      </x:c>
      <x:c r="D22" s="17" t="str">
        <x:v>https://www.one.ro/ro/contact/</x:v>
      </x:c>
      <x:c r="E22" s="17" t="str">
        <x:v>Flota și retururile nu sunt confirmate public; se califică înainte de ofertă.</x:v>
      </x:c>
    </x:row>
    <x:row r="23">
      <x:c r="A23" s="17" t="str">
        <x:v>Prospect</x:v>
      </x:c>
      <x:c r="B23" s="17" t="str">
        <x:v>Forte Partners – canal public</x:v>
      </x:c>
      <x:c r="C23" s="17" t="str">
        <x:v>Forte Partners</x:v>
      </x:c>
      <x:c r="D23" s="17" t="str">
        <x:v>https://www.forte-partners.ro/</x:v>
      </x:c>
      <x:c r="E23" s="17" t="str">
        <x:v>Flota și retururile nu sunt confirmate public; se califică înainte de ofertă.</x:v>
      </x:c>
    </x:row>
    <x:row r="24">
      <x:c r="A24" s="17" t="str">
        <x:v>Prospect</x:v>
      </x:c>
      <x:c r="B24" s="17" t="str">
        <x:v>Cordia România – canal public</x:v>
      </x:c>
      <x:c r="C24" s="17" t="str">
        <x:v>Cordia România</x:v>
      </x:c>
      <x:c r="D24" s="17" t="str">
        <x:v>https://cordia.ro/contact/</x:v>
      </x:c>
      <x:c r="E24" s="17" t="str">
        <x:v>Flota și retururile nu sunt confirmate public; se califică înainte de ofertă.</x:v>
      </x:c>
    </x:row>
    <x:row r="25">
      <x:c r="A25" s="17" t="str">
        <x:v>Prospect</x:v>
      </x:c>
      <x:c r="B25" s="17" t="str">
        <x:v>Hagag Development Europe – canal public</x:v>
      </x:c>
      <x:c r="C25" s="17" t="str">
        <x:v>Hagag Development Europe</x:v>
      </x:c>
      <x:c r="D25" s="17" t="str">
        <x:v>https://hagag-development-europe.com/</x:v>
      </x:c>
      <x:c r="E25" s="17" t="str">
        <x:v>Flota și retururile nu sunt confirmate public; se califică înainte de ofertă.</x:v>
      </x:c>
    </x:row>
    <x:row r="26">
      <x:c r="A26" s="17" t="str">
        <x:v>Prospect</x:v>
      </x:c>
      <x:c r="B26" s="17" t="str">
        <x:v>Softbinator Technologies – canal public</x:v>
      </x:c>
      <x:c r="C26" s="17" t="str">
        <x:v>Softbinator Technologies</x:v>
      </x:c>
      <x:c r="D26" s="17" t="str">
        <x:v>https://softbinator.com/contact/</x:v>
      </x:c>
      <x:c r="E26" s="17" t="str">
        <x:v>Flota și retururile nu sunt confirmate public; se califică înainte de ofertă.</x:v>
      </x:c>
    </x:row>
    <x:row r="27">
      <x:c r="A27" s="17" t="str">
        <x:v>Prospect</x:v>
      </x:c>
      <x:c r="B27" s="17" t="str">
        <x:v>Connections Consult – canal public</x:v>
      </x:c>
      <x:c r="C27" s="17" t="str">
        <x:v>Connections Consult</x:v>
      </x:c>
      <x:c r="D27" s="17" t="str">
        <x:v>https://connectionsconsult.ro/contact/</x:v>
      </x:c>
      <x:c r="E27" s="17" t="str">
        <x:v>Flota și retururile nu sunt confirmate public; se califică înainte de ofertă.</x:v>
      </x:c>
    </x:row>
    <x:row r="28">
      <x:c r="A28" s="17" t="str">
        <x:v>Prospect</x:v>
      </x:c>
      <x:c r="B28" s="17" t="str">
        <x:v>Trencadis – canal public</x:v>
      </x:c>
      <x:c r="C28" s="17" t="str">
        <x:v>Trencadis</x:v>
      </x:c>
      <x:c r="D28" s="17" t="str">
        <x:v>https://trencadis.ro/contact-us.html</x:v>
      </x:c>
      <x:c r="E28" s="17" t="str">
        <x:v>Flota și retururile nu sunt confirmate public; se califică înainte de ofertă.</x:v>
      </x:c>
    </x:row>
    <x:row r="29">
      <x:c r="A29" s="17" t="str">
        <x:v>Prospect</x:v>
      </x:c>
      <x:c r="B29" s="17" t="str">
        <x:v>Bittnet Group – canal public</x:v>
      </x:c>
      <x:c r="C29" s="17" t="str">
        <x:v>Bittnet Group</x:v>
      </x:c>
      <x:c r="D29" s="17" t="str">
        <x:v>https://www.bittnet.ro/despre-noi/contact/</x:v>
      </x:c>
      <x:c r="E29" s="17" t="str">
        <x:v>Flota și retururile nu sunt confirmate public; se califică înainte de ofertă.</x:v>
      </x:c>
    </x:row>
    <x:row r="30">
      <x:c r="A30" s="17" t="str">
        <x:v>Prospect</x:v>
      </x:c>
      <x:c r="B30" s="17" t="str">
        <x:v>NNDKP – canal public</x:v>
      </x:c>
      <x:c r="C30" s="17" t="str">
        <x:v>NNDKP</x:v>
      </x:c>
      <x:c r="D30" s="17" t="str">
        <x:v>https://www.nndkp.ro/</x:v>
      </x:c>
      <x:c r="E30" s="17" t="str">
        <x:v>Flota și retururile nu sunt confirmate public; se califică înainte de ofertă.</x:v>
      </x:c>
    </x:row>
    <x:row r="31">
      <x:c r="A31" s="17" t="str">
        <x:v>Prospect</x:v>
      </x:c>
      <x:c r="B31" s="17" t="str">
        <x:v>Țuca Zbârcea &amp; Asociații – canal public</x:v>
      </x:c>
      <x:c r="C31" s="17" t="str">
        <x:v>Țuca Zbârcea &amp; Asociații</x:v>
      </x:c>
      <x:c r="D31" s="17" t="str">
        <x:v>https://www.tuca.ro/</x:v>
      </x:c>
      <x:c r="E31" s="17" t="str">
        <x:v>Flota și retururile nu sunt confirmate public; se califică înainte de ofertă.</x:v>
      </x:c>
    </x:row>
    <x:row r="32">
      <x:c r="A32" s="17" t="str">
        <x:v>Prospect</x:v>
      </x:c>
      <x:c r="B32" s="17" t="str">
        <x:v>Mușat &amp; Asociații – canal public</x:v>
      </x:c>
      <x:c r="C32" s="17" t="str">
        <x:v>Mușat &amp; Asociații</x:v>
      </x:c>
      <x:c r="D32" s="17" t="str">
        <x:v>https://www.musat.ro/contact/</x:v>
      </x:c>
      <x:c r="E32" s="17" t="str">
        <x:v>Flota și retururile nu sunt confirmate public; se califică înainte de ofertă.</x:v>
      </x:c>
    </x:row>
    <x:row r="33">
      <x:c r="A33" s="17" t="str">
        <x:v>Prospect</x:v>
      </x:c>
      <x:c r="B33" s="17" t="str">
        <x:v>Filip &amp; Company – canal public</x:v>
      </x:c>
      <x:c r="C33" s="17" t="str">
        <x:v>Filip &amp; Company</x:v>
      </x:c>
      <x:c r="D33" s="17" t="str">
        <x:v>https://filipandcompany.com/</x:v>
      </x:c>
      <x:c r="E33" s="17" t="str">
        <x:v>Flota și retururile nu sunt confirmate public; se califică înainte de ofertă.</x:v>
      </x:c>
    </x:row>
    <x:row r="34">
      <x:c r="A34" s="17" t="str">
        <x:v>Prospect</x:v>
      </x:c>
      <x:c r="B34" s="17" t="str">
        <x:v>RTPR – canal public</x:v>
      </x:c>
      <x:c r="C34" s="17" t="str">
        <x:v>RTPR</x:v>
      </x:c>
      <x:c r="D34" s="17" t="str">
        <x:v>https://www.rtpr.ro/contact/</x:v>
      </x:c>
      <x:c r="E34" s="17" t="str">
        <x:v>Flota și retururile nu sunt confirmate public; se califică înainte de ofertă.</x:v>
      </x:c>
    </x:row>
    <x:row r="35">
      <x:c r="A35" s="17" t="str">
        <x:v>Prospect</x:v>
      </x:c>
      <x:c r="B35" s="17" t="str">
        <x:v>PeliPartners – canal public</x:v>
      </x:c>
      <x:c r="C35" s="17" t="str">
        <x:v>PeliPartners</x:v>
      </x:c>
      <x:c r="D35" s="17" t="str">
        <x:v>https://pelipartners.com/</x:v>
      </x:c>
      <x:c r="E35" s="17" t="str">
        <x:v>Flota și retururile nu sunt confirmate public; se califică înainte de ofertă.</x:v>
      </x:c>
    </x:row>
    <x:row r="36">
      <x:c r="A36" s="17" t="str">
        <x:v>Prospect</x:v>
      </x:c>
      <x:c r="B36" s="17" t="str">
        <x:v>Popovici Nițu Stoica &amp; Asociații – canal public</x:v>
      </x:c>
      <x:c r="C36" s="17" t="str">
        <x:v>Popovici Nițu Stoica &amp; Asociații</x:v>
      </x:c>
      <x:c r="D36" s="17" t="str">
        <x:v>https://pnsa.ro/contact.asp</x:v>
      </x:c>
      <x:c r="E36" s="17" t="str">
        <x:v>Flota și retururile nu sunt confirmate public; se califică înainte de ofertă.</x:v>
      </x:c>
    </x:row>
    <x:row r="37">
      <x:c r="A37" s="17" t="str">
        <x:v>Prospect</x:v>
      </x:c>
      <x:c r="B37" s="17" t="str">
        <x:v>Schoenherr România – canal public</x:v>
      </x:c>
      <x:c r="C37" s="17" t="str">
        <x:v>Schoenherr România</x:v>
      </x:c>
      <x:c r="D37" s="17" t="str">
        <x:v>https://www.schoenherr.eu/locations/romania</x:v>
      </x:c>
      <x:c r="E37" s="17" t="str">
        <x:v>Flota și retururile nu sunt confirmate public; se califică înainte de ofertă.</x:v>
      </x:c>
    </x:row>
    <x:row r="38">
      <x:c r="A38" s="17" t="str">
        <x:v>Prospect</x:v>
      </x:c>
      <x:c r="B38" s="17" t="str">
        <x:v>Wolf Theiss România – canal public</x:v>
      </x:c>
      <x:c r="C38" s="17" t="str">
        <x:v>Wolf Theiss România</x:v>
      </x:c>
      <x:c r="D38" s="17" t="str">
        <x:v>https://www.wolftheiss.com/countries/romania/</x:v>
      </x:c>
      <x:c r="E38" s="17" t="str">
        <x:v>Flota și retururile nu sunt confirmate public; se califică înainte de ofertă.</x:v>
      </x:c>
    </x:row>
    <x:row r="39">
      <x:c r="A39" s="17" t="str">
        <x:v>Prospect</x:v>
      </x:c>
      <x:c r="B39" s="17" t="str">
        <x:v>Concelex – canal public</x:v>
      </x:c>
      <x:c r="C39" s="17" t="str">
        <x:v>Concelex</x:v>
      </x:c>
      <x:c r="D39" s="17" t="str">
        <x:v>https://concelex.ro/</x:v>
      </x:c>
      <x:c r="E39" s="17" t="str">
        <x:v>Flota și retururile nu sunt confirmate public; se califică înainte de ofertă.</x:v>
      </x:c>
    </x:row>
    <x:row r="40">
      <x:c r="A40" s="17" t="str">
        <x:v>Prospect</x:v>
      </x:c>
      <x:c r="B40" s="17" t="str">
        <x:v>Bog'Art – canal public</x:v>
      </x:c>
      <x:c r="C40" s="17" t="str">
        <x:v>Bog'Art</x:v>
      </x:c>
      <x:c r="D40" s="17" t="str">
        <x:v>https://www.bogart.ro/contact-us/</x:v>
      </x:c>
      <x:c r="E40" s="17" t="str">
        <x:v>Flota și retururile nu sunt confirmate public; se califică înainte de ofertă.</x:v>
      </x:c>
    </x:row>
    <x:row r="41">
      <x:c r="A41" s="17" t="str">
        <x:v>Prospect</x:v>
      </x:c>
      <x:c r="B41" s="17" t="str">
        <x:v>Reff &amp; Associates – canal public</x:v>
      </x:c>
      <x:c r="C41" s="17" t="str">
        <x:v>Reff &amp; Associates</x:v>
      </x:c>
      <x:c r="D41" s="17" t="str">
        <x:v>https://www.reff-associates.ro/re/en/contact/contact-us.html</x:v>
      </x:c>
      <x:c r="E41" s="17" t="str">
        <x:v>Flota și retururile nu sunt confirmate public; se califică înainte de ofertă.</x:v>
      </x:c>
    </x:row>
  </x:sheetData>
  <x:mergeCells>
    <x:mergeCell ref="A1:E1"/>
    <x:mergeCell ref="A2:E2"/>
  </x:mergeCells>
  <x:pageMargins left="0.7" right="0.7" top="0.75" bottom="0.75" header="0.3" footer="0.3"/>
</x:worksheet>
</file>